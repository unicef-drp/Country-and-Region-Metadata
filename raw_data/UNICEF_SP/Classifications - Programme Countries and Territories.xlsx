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cef.sharepoint.com/teams/DAPM-ChildMortality/Shared Documents/UN IGME data/update country.info.CME/Country-and-Region-Metadata/raw_data/UNICEF_SP/"/>
    </mc:Choice>
  </mc:AlternateContent>
  <xr:revisionPtr revIDLastSave="0" documentId="8_{4DB1E03A-C8F3-48E4-921F-0FCE3154BCCF}" xr6:coauthVersionLast="47" xr6:coauthVersionMax="47" xr10:uidLastSave="{00000000-0000-0000-0000-000000000000}"/>
  <bookViews>
    <workbookView xWindow="-28920" yWindow="-120" windowWidth="29040" windowHeight="17520" xr2:uid="{DB58EA8F-CC08-43F2-956C-1C757DAEC345}"/>
  </bookViews>
  <sheets>
    <sheet name="Sources" sheetId="9" r:id="rId1"/>
    <sheet name="2025" sheetId="12" r:id="rId2"/>
    <sheet name="2024" sheetId="8" r:id="rId3"/>
    <sheet name="Pivot Tables" sheetId="10" r:id="rId4"/>
    <sheet name="2023" sheetId="7" r:id="rId5"/>
    <sheet name="2022" sheetId="1" r:id="rId6"/>
    <sheet name="2021" sheetId="4" r:id="rId7"/>
    <sheet name="List of economies" sheetId="3" r:id="rId8"/>
    <sheet name="Matching names" sheetId="11" r:id="rId9"/>
  </sheets>
  <externalReferences>
    <externalReference r:id="rId10"/>
    <externalReference r:id="rId11"/>
  </externalReferences>
  <definedNames>
    <definedName name="_xlnm._FilterDatabase" localSheetId="6" hidden="1">'2021'!$C$5:$H$162</definedName>
    <definedName name="_xlnm._FilterDatabase" localSheetId="5" hidden="1">'2022'!$A$1:$I$159</definedName>
    <definedName name="_xlnm._FilterDatabase" localSheetId="4" hidden="1">'2023'!$A$1:$R$163</definedName>
    <definedName name="_xlnm._FilterDatabase" localSheetId="2" hidden="1">'2024'!$A$1:$V$164</definedName>
    <definedName name="_xlnm._FilterDatabase" localSheetId="1" hidden="1">'2025'!$C$1:$AA$160</definedName>
    <definedName name="_xlnm._FilterDatabase" localSheetId="7" hidden="1">'List of economies'!$A$1:$B$219</definedName>
    <definedName name="_xlnm._FilterDatabase" localSheetId="8" hidden="1">'Matching names'!$B$2:$C$446</definedName>
  </definedNames>
  <calcPr calcId="191028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8" l="1"/>
  <c r="P9" i="8"/>
  <c r="P12" i="8"/>
  <c r="P25" i="8"/>
  <c r="P29" i="8"/>
  <c r="P30" i="8"/>
  <c r="P41" i="8"/>
  <c r="P50" i="8"/>
  <c r="P52" i="8"/>
  <c r="P62" i="8"/>
  <c r="P66" i="8"/>
  <c r="P68" i="8"/>
  <c r="P71" i="8"/>
  <c r="P75" i="8"/>
  <c r="P80" i="8"/>
  <c r="P83" i="8"/>
  <c r="P84" i="8"/>
  <c r="P85" i="8"/>
  <c r="P88" i="8"/>
  <c r="P90" i="8"/>
  <c r="P97" i="8"/>
  <c r="P102" i="8"/>
  <c r="P103" i="8"/>
  <c r="P107" i="8"/>
  <c r="P109" i="8"/>
  <c r="P118" i="8"/>
  <c r="P121" i="8"/>
  <c r="P132" i="8"/>
  <c r="P134" i="8"/>
  <c r="P135" i="8"/>
  <c r="P139" i="8"/>
  <c r="P141" i="8"/>
  <c r="P150" i="8"/>
  <c r="P155" i="8"/>
  <c r="P160" i="8"/>
  <c r="P162" i="8"/>
  <c r="P164" i="8"/>
  <c r="P3" i="8"/>
  <c r="P4" i="8"/>
  <c r="P6" i="8"/>
  <c r="P7" i="8"/>
  <c r="P8" i="8"/>
  <c r="P10" i="8"/>
  <c r="P11" i="8"/>
  <c r="P13" i="8"/>
  <c r="P14" i="8"/>
  <c r="P15" i="8"/>
  <c r="P16" i="8"/>
  <c r="P17" i="8"/>
  <c r="P18" i="8"/>
  <c r="P19" i="8"/>
  <c r="P20" i="8"/>
  <c r="P21" i="8"/>
  <c r="P22" i="8"/>
  <c r="P23" i="8"/>
  <c r="P24" i="8"/>
  <c r="P26" i="8"/>
  <c r="P27" i="8"/>
  <c r="P28" i="8"/>
  <c r="P31" i="8"/>
  <c r="P32" i="8"/>
  <c r="P33" i="8"/>
  <c r="P34" i="8"/>
  <c r="P35" i="8"/>
  <c r="P36" i="8"/>
  <c r="P37" i="8"/>
  <c r="P38" i="8"/>
  <c r="P39" i="8"/>
  <c r="P40" i="8"/>
  <c r="P42" i="8"/>
  <c r="P43" i="8"/>
  <c r="P44" i="8"/>
  <c r="P45" i="8"/>
  <c r="P46" i="8"/>
  <c r="P47" i="8"/>
  <c r="P48" i="8"/>
  <c r="P49" i="8"/>
  <c r="P51" i="8"/>
  <c r="P53" i="8"/>
  <c r="P54" i="8"/>
  <c r="P55" i="8"/>
  <c r="P56" i="8"/>
  <c r="P57" i="8"/>
  <c r="P58" i="8"/>
  <c r="P59" i="8"/>
  <c r="P60" i="8"/>
  <c r="P61" i="8"/>
  <c r="P63" i="8"/>
  <c r="P64" i="8"/>
  <c r="P65" i="8"/>
  <c r="P67" i="8"/>
  <c r="P69" i="8"/>
  <c r="P70" i="8"/>
  <c r="P72" i="8"/>
  <c r="P73" i="8"/>
  <c r="P74" i="8"/>
  <c r="P76" i="8"/>
  <c r="P77" i="8"/>
  <c r="P78" i="8"/>
  <c r="P79" i="8"/>
  <c r="P81" i="8"/>
  <c r="P82" i="8"/>
  <c r="P86" i="8"/>
  <c r="P87" i="8"/>
  <c r="P89" i="8"/>
  <c r="P91" i="8"/>
  <c r="P92" i="8"/>
  <c r="P93" i="8"/>
  <c r="P94" i="8"/>
  <c r="P95" i="8"/>
  <c r="P96" i="8"/>
  <c r="P98" i="8"/>
  <c r="P99" i="8"/>
  <c r="P100" i="8"/>
  <c r="P101" i="8"/>
  <c r="P104" i="8"/>
  <c r="P105" i="8"/>
  <c r="P106" i="8"/>
  <c r="P108" i="8"/>
  <c r="P110" i="8"/>
  <c r="P111" i="8"/>
  <c r="P112" i="8"/>
  <c r="P113" i="8"/>
  <c r="P114" i="8"/>
  <c r="P116" i="8"/>
  <c r="P117" i="8"/>
  <c r="P119" i="8"/>
  <c r="P120" i="8"/>
  <c r="P122" i="8"/>
  <c r="P123" i="8"/>
  <c r="P124" i="8"/>
  <c r="P125" i="8"/>
  <c r="P126" i="8"/>
  <c r="P127" i="8"/>
  <c r="P128" i="8"/>
  <c r="P129" i="8"/>
  <c r="P130" i="8"/>
  <c r="P131" i="8"/>
  <c r="P133" i="8"/>
  <c r="P136" i="8"/>
  <c r="P137" i="8"/>
  <c r="P138" i="8"/>
  <c r="P140" i="8"/>
  <c r="P142" i="8"/>
  <c r="P143" i="8"/>
  <c r="P144" i="8"/>
  <c r="P145" i="8"/>
  <c r="P146" i="8"/>
  <c r="P147" i="8"/>
  <c r="P148" i="8"/>
  <c r="P149" i="8"/>
  <c r="P151" i="8"/>
  <c r="P152" i="8"/>
  <c r="P153" i="8"/>
  <c r="P154" i="8"/>
  <c r="P156" i="8"/>
  <c r="P157" i="8"/>
  <c r="P158" i="8"/>
  <c r="P159" i="8"/>
  <c r="P161" i="8"/>
  <c r="P163" i="8"/>
  <c r="P2" i="8"/>
  <c r="D164" i="8" l="1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2" i="7"/>
  <c r="D3" i="7"/>
  <c r="D114" i="7"/>
  <c r="D4" i="7"/>
  <c r="D5" i="7"/>
  <c r="D6" i="7"/>
  <c r="D115" i="7"/>
  <c r="D7" i="7"/>
  <c r="D8" i="7"/>
  <c r="D116" i="7"/>
  <c r="D9" i="7"/>
  <c r="D10" i="7"/>
  <c r="D11" i="7"/>
  <c r="D117" i="7"/>
  <c r="D12" i="7"/>
  <c r="D13" i="7"/>
  <c r="D14" i="7"/>
  <c r="D15" i="7"/>
  <c r="D16" i="7"/>
  <c r="D17" i="7"/>
  <c r="D18" i="7"/>
  <c r="D118" i="7"/>
  <c r="D119" i="7"/>
  <c r="D19" i="7"/>
  <c r="D20" i="7"/>
  <c r="D21" i="7"/>
  <c r="D120" i="7"/>
  <c r="D121" i="7"/>
  <c r="D22" i="7"/>
  <c r="D23" i="7"/>
  <c r="D24" i="7"/>
  <c r="D25" i="7"/>
  <c r="D26" i="7"/>
  <c r="D27" i="7"/>
  <c r="D122" i="7"/>
  <c r="D28" i="7"/>
  <c r="D29" i="7"/>
  <c r="D30" i="7"/>
  <c r="D123" i="7"/>
  <c r="D31" i="7"/>
  <c r="D32" i="7"/>
  <c r="D33" i="7"/>
  <c r="D34" i="7"/>
  <c r="D35" i="7"/>
  <c r="D124" i="7"/>
  <c r="D125" i="7"/>
  <c r="D36" i="7"/>
  <c r="D126" i="7"/>
  <c r="D37" i="7"/>
  <c r="D127" i="7"/>
  <c r="D38" i="7"/>
  <c r="D39" i="7"/>
  <c r="D40" i="7"/>
  <c r="D41" i="7"/>
  <c r="D42" i="7"/>
  <c r="D43" i="7"/>
  <c r="D44" i="7"/>
  <c r="D45" i="7"/>
  <c r="D46" i="7"/>
  <c r="D128" i="7"/>
  <c r="D47" i="7"/>
  <c r="D48" i="7"/>
  <c r="D49" i="7"/>
  <c r="D129" i="7"/>
  <c r="D130" i="7"/>
  <c r="D131" i="7"/>
  <c r="D50" i="7"/>
  <c r="D132" i="7"/>
  <c r="D133" i="7"/>
  <c r="D51" i="7"/>
  <c r="D134" i="7"/>
  <c r="D52" i="7"/>
  <c r="D135" i="7"/>
  <c r="D53" i="7"/>
  <c r="D55" i="7"/>
  <c r="D56" i="7"/>
  <c r="D136" i="7"/>
  <c r="D57" i="7"/>
  <c r="D58" i="7"/>
  <c r="D137" i="7"/>
  <c r="D138" i="7"/>
  <c r="D139" i="7"/>
  <c r="D59" i="7"/>
  <c r="D60" i="7"/>
  <c r="D140" i="7"/>
  <c r="D61" i="7"/>
  <c r="D141" i="7"/>
  <c r="D142" i="7"/>
  <c r="D62" i="7"/>
  <c r="D143" i="7"/>
  <c r="D63" i="7"/>
  <c r="D64" i="7"/>
  <c r="D65" i="7"/>
  <c r="D144" i="7"/>
  <c r="D66" i="7"/>
  <c r="D67" i="7"/>
  <c r="D68" i="7"/>
  <c r="D69" i="7"/>
  <c r="D145" i="7"/>
  <c r="D146" i="7"/>
  <c r="D70" i="7"/>
  <c r="D71" i="7"/>
  <c r="D72" i="7"/>
  <c r="D147" i="7"/>
  <c r="D73" i="7"/>
  <c r="D148" i="7"/>
  <c r="D149" i="7"/>
  <c r="D74" i="7"/>
  <c r="D75" i="7"/>
  <c r="D76" i="7"/>
  <c r="D77" i="7"/>
  <c r="D78" i="7"/>
  <c r="D79" i="7"/>
  <c r="D150" i="7"/>
  <c r="D80" i="7"/>
  <c r="D81" i="7"/>
  <c r="D151" i="7"/>
  <c r="D152" i="7"/>
  <c r="D82" i="7"/>
  <c r="D83" i="7"/>
  <c r="D84" i="7"/>
  <c r="D85" i="7"/>
  <c r="D86" i="7"/>
  <c r="D87" i="7"/>
  <c r="D88" i="7"/>
  <c r="D89" i="7"/>
  <c r="D90" i="7"/>
  <c r="D153" i="7"/>
  <c r="D91" i="7"/>
  <c r="D154" i="7"/>
  <c r="D155" i="7"/>
  <c r="D92" i="7"/>
  <c r="D93" i="7"/>
  <c r="D94" i="7"/>
  <c r="D156" i="7"/>
  <c r="D95" i="7"/>
  <c r="D157" i="7"/>
  <c r="D96" i="7"/>
  <c r="D97" i="7"/>
  <c r="D98" i="7"/>
  <c r="D99" i="7"/>
  <c r="D100" i="7"/>
  <c r="D101" i="7"/>
  <c r="D102" i="7"/>
  <c r="D103" i="7"/>
  <c r="D158" i="7"/>
  <c r="D104" i="7"/>
  <c r="D105" i="7"/>
  <c r="D106" i="7"/>
  <c r="D107" i="7"/>
  <c r="D159" i="7"/>
  <c r="D160" i="7"/>
  <c r="D108" i="7"/>
  <c r="D109" i="7"/>
  <c r="D110" i="7"/>
  <c r="D161" i="7"/>
  <c r="D111" i="7"/>
  <c r="D162" i="7"/>
  <c r="D112" i="7"/>
  <c r="D163" i="7"/>
  <c r="D113" i="7"/>
</calcChain>
</file>

<file path=xl/sharedStrings.xml><?xml version="1.0" encoding="utf-8"?>
<sst xmlns="http://schemas.openxmlformats.org/spreadsheetml/2006/main" count="13655" uniqueCount="1292">
  <si>
    <t>SOURCES</t>
  </si>
  <si>
    <t>Region UNSD</t>
  </si>
  <si>
    <t>UNSD — Methodology</t>
  </si>
  <si>
    <t>Sub-Region UNSD</t>
  </si>
  <si>
    <t>Intermediate Region UNSD</t>
  </si>
  <si>
    <t xml:space="preserve">Least Developed Countries </t>
  </si>
  <si>
    <t xml:space="preserve">Land Locked Developing Countries </t>
  </si>
  <si>
    <t>Small Island Developing States</t>
  </si>
  <si>
    <t>Countries with an HRP</t>
  </si>
  <si>
    <t>Provided by GCCS</t>
  </si>
  <si>
    <t>Country Office</t>
  </si>
  <si>
    <t>ISO 3 Code</t>
  </si>
  <si>
    <t>HIV Priority country</t>
  </si>
  <si>
    <t>HIV team</t>
  </si>
  <si>
    <t>WB Income Group classification</t>
  </si>
  <si>
    <t>World Bank Country and Lending Groups – World Bank Data Help Desk</t>
  </si>
  <si>
    <t>WB fragile and conflict-affected situations classification</t>
  </si>
  <si>
    <t>Classification of Fragile and Conflict-Affected Situations</t>
  </si>
  <si>
    <t>Countries and Territories with HACs</t>
  </si>
  <si>
    <t xml:space="preserve">EMOPS </t>
  </si>
  <si>
    <t>Humanitarian Countries for impact and outcome reporting</t>
  </si>
  <si>
    <t>High Burden countries</t>
  </si>
  <si>
    <t>Country Name</t>
  </si>
  <si>
    <t>Business
Area</t>
  </si>
  <si>
    <t>BA CODE</t>
  </si>
  <si>
    <t>Region</t>
  </si>
  <si>
    <t>Multi-country Programme</t>
  </si>
  <si>
    <t>Stand alone Countries and Territories with HACs</t>
  </si>
  <si>
    <t>Regional HAC</t>
  </si>
  <si>
    <t>Multi-country HAC</t>
  </si>
  <si>
    <t>Other Resources - Emergency</t>
  </si>
  <si>
    <t>Other Resources - Regular</t>
  </si>
  <si>
    <t>Regular Resources</t>
  </si>
  <si>
    <t>Grand Total</t>
  </si>
  <si>
    <t>% ORE/Total Expenses</t>
  </si>
  <si>
    <t>AFG</t>
  </si>
  <si>
    <t>Afghanistan</t>
  </si>
  <si>
    <t>0060</t>
  </si>
  <si>
    <t>SAR</t>
  </si>
  <si>
    <t>Asia</t>
  </si>
  <si>
    <t>Southern Asia</t>
  </si>
  <si>
    <t>Yes</t>
  </si>
  <si>
    <t> </t>
  </si>
  <si>
    <t>No</t>
  </si>
  <si>
    <t>Low income</t>
  </si>
  <si>
    <t>Conflict</t>
  </si>
  <si>
    <t>97,043,052</t>
  </si>
  <si>
    <t>616,868,010</t>
  </si>
  <si>
    <t>27,768,713</t>
  </si>
  <si>
    <t>741,679,775</t>
  </si>
  <si>
    <t>ALB</t>
  </si>
  <si>
    <t>Albania</t>
  </si>
  <si>
    <t>0090</t>
  </si>
  <si>
    <t>ECAR</t>
  </si>
  <si>
    <t>Europe</t>
  </si>
  <si>
    <t>Southern Europe</t>
  </si>
  <si>
    <t>Upper middle income</t>
  </si>
  <si>
    <t>1,538,775</t>
  </si>
  <si>
    <t>3,547,920</t>
  </si>
  <si>
    <t>1,681,007</t>
  </si>
  <si>
    <t>6,767,702</t>
  </si>
  <si>
    <t>ALG</t>
  </si>
  <si>
    <t>Algeria</t>
  </si>
  <si>
    <t>0120</t>
  </si>
  <si>
    <t>MENAR</t>
  </si>
  <si>
    <t>Africa</t>
  </si>
  <si>
    <t>Northern Africa</t>
  </si>
  <si>
    <t>3,925,641</t>
  </si>
  <si>
    <t>2,050,669</t>
  </si>
  <si>
    <t>6,506,529</t>
  </si>
  <si>
    <t>ANG</t>
  </si>
  <si>
    <t>Angola</t>
  </si>
  <si>
    <t>ESAR</t>
  </si>
  <si>
    <t>Sub-Saharan Africa</t>
  </si>
  <si>
    <t>Lower middle income</t>
  </si>
  <si>
    <t>5,759,640</t>
  </si>
  <si>
    <t>9,333,656</t>
  </si>
  <si>
    <t>9,292,525</t>
  </si>
  <si>
    <t>24,385,821</t>
  </si>
  <si>
    <t>Middle Africa</t>
  </si>
  <si>
    <t>AIA</t>
  </si>
  <si>
    <t>Anguilla</t>
  </si>
  <si>
    <t>Barbados</t>
  </si>
  <si>
    <t>0420RAM301</t>
  </si>
  <si>
    <t>LACR</t>
  </si>
  <si>
    <t>Americas</t>
  </si>
  <si>
    <t>Latin America and the Caribbean</t>
  </si>
  <si>
    <t>Eastern Caribbean multi-country programme (Barbados)</t>
  </si>
  <si>
    <t>Uncategorized</t>
  </si>
  <si>
    <t>Caribbean</t>
  </si>
  <si>
    <t>ATG</t>
  </si>
  <si>
    <t>Antigua and Barbuda</t>
  </si>
  <si>
    <t>0420RAM302</t>
  </si>
  <si>
    <t>High income</t>
  </si>
  <si>
    <t>ARG</t>
  </si>
  <si>
    <t>Argentina</t>
  </si>
  <si>
    <t>0240</t>
  </si>
  <si>
    <t>7,228,091</t>
  </si>
  <si>
    <t>1,023,481</t>
  </si>
  <si>
    <t>8,559,026</t>
  </si>
  <si>
    <t>South America</t>
  </si>
  <si>
    <t>ARM</t>
  </si>
  <si>
    <t>Armenia</t>
  </si>
  <si>
    <t>0260</t>
  </si>
  <si>
    <t>Western Asia</t>
  </si>
  <si>
    <t>6,187,096</t>
  </si>
  <si>
    <t>3,397,458</t>
  </si>
  <si>
    <t>1,519,682</t>
  </si>
  <si>
    <t>11,104,236</t>
  </si>
  <si>
    <t>AZE</t>
  </si>
  <si>
    <t>Azerbaijan</t>
  </si>
  <si>
    <t>0310</t>
  </si>
  <si>
    <t>1,349,109</t>
  </si>
  <si>
    <t>BHR</t>
  </si>
  <si>
    <t>Bahrain</t>
  </si>
  <si>
    <t>Saudi Arabia</t>
  </si>
  <si>
    <t>3780D00000</t>
  </si>
  <si>
    <t>Gulf Area subregional programme (Saudi Arabia)</t>
  </si>
  <si>
    <t>BAN</t>
  </si>
  <si>
    <t>Bangladesh</t>
  </si>
  <si>
    <t>47,605,567</t>
  </si>
  <si>
    <t>69,272,861</t>
  </si>
  <si>
    <t>16,273,715</t>
  </si>
  <si>
    <t>133,152,143</t>
  </si>
  <si>
    <t>BAR</t>
  </si>
  <si>
    <t>0420RAM300</t>
  </si>
  <si>
    <t>1,387,282</t>
  </si>
  <si>
    <t>7,002,768</t>
  </si>
  <si>
    <t>9,192,839</t>
  </si>
  <si>
    <t>BSR</t>
  </si>
  <si>
    <t>Belarus</t>
  </si>
  <si>
    <t>0630</t>
  </si>
  <si>
    <t>Eastern Europe</t>
  </si>
  <si>
    <t>1,984,333</t>
  </si>
  <si>
    <t>1,417,533</t>
  </si>
  <si>
    <t>4,159,157</t>
  </si>
  <si>
    <t>BZE</t>
  </si>
  <si>
    <t>Belize</t>
  </si>
  <si>
    <t>1,876,522</t>
  </si>
  <si>
    <t>1,120,330</t>
  </si>
  <si>
    <t>1,255,839</t>
  </si>
  <si>
    <t>4,252,691</t>
  </si>
  <si>
    <t>Central America</t>
  </si>
  <si>
    <t>BEN</t>
  </si>
  <si>
    <t>Benin</t>
  </si>
  <si>
    <t>WCAR</t>
  </si>
  <si>
    <t>2,504,146</t>
  </si>
  <si>
    <t>27,016,650</t>
  </si>
  <si>
    <t>9,048,553</t>
  </si>
  <si>
    <t>38,569,349</t>
  </si>
  <si>
    <t>Western Africa</t>
  </si>
  <si>
    <t>BTN</t>
  </si>
  <si>
    <t>Bhutan</t>
  </si>
  <si>
    <t>0490</t>
  </si>
  <si>
    <t>3,245,406</t>
  </si>
  <si>
    <t>1,363,313</t>
  </si>
  <si>
    <t>4,743,012</t>
  </si>
  <si>
    <t>BOL</t>
  </si>
  <si>
    <t>Bolivia</t>
  </si>
  <si>
    <t>0510</t>
  </si>
  <si>
    <t>1,180,005</t>
  </si>
  <si>
    <t>6,940,236</t>
  </si>
  <si>
    <t>2,290,842</t>
  </si>
  <si>
    <t>10,411,083</t>
  </si>
  <si>
    <t>BHG</t>
  </si>
  <si>
    <t>Bosnia and Herzegovina</t>
  </si>
  <si>
    <t>0530</t>
  </si>
  <si>
    <t>5,283,017</t>
  </si>
  <si>
    <t>1,524,347</t>
  </si>
  <si>
    <t>7,757,923</t>
  </si>
  <si>
    <t>BTW</t>
  </si>
  <si>
    <t>Botswana</t>
  </si>
  <si>
    <t>0520</t>
  </si>
  <si>
    <t>1,199,109</t>
  </si>
  <si>
    <t>1,410,766</t>
  </si>
  <si>
    <t>2,758,875</t>
  </si>
  <si>
    <t>Southern Africa</t>
  </si>
  <si>
    <t>BRZ</t>
  </si>
  <si>
    <t>Brazil</t>
  </si>
  <si>
    <t>0540</t>
  </si>
  <si>
    <t>4,361,431</t>
  </si>
  <si>
    <t>18,493,869</t>
  </si>
  <si>
    <t>1,500,423</t>
  </si>
  <si>
    <t>24,355,723</t>
  </si>
  <si>
    <t>VGB</t>
  </si>
  <si>
    <t>British Virgin Islands</t>
  </si>
  <si>
    <t>0420RAM303</t>
  </si>
  <si>
    <t>BUL</t>
  </si>
  <si>
    <t>Bulgaria</t>
  </si>
  <si>
    <t>0570</t>
  </si>
  <si>
    <t>1,296,909</t>
  </si>
  <si>
    <t>1,377,385</t>
  </si>
  <si>
    <t>1,339,342</t>
  </si>
  <si>
    <t>4,013,636</t>
  </si>
  <si>
    <t>BUF</t>
  </si>
  <si>
    <t>Burkina Faso</t>
  </si>
  <si>
    <t>21,862,901</t>
  </si>
  <si>
    <t>39,181,401</t>
  </si>
  <si>
    <t>20,160,642</t>
  </si>
  <si>
    <t>81,204,944</t>
  </si>
  <si>
    <t>BRD</t>
  </si>
  <si>
    <t>Burundi</t>
  </si>
  <si>
    <t>0610</t>
  </si>
  <si>
    <t>Institutional And Social Fragility</t>
  </si>
  <si>
    <t>9,159,996</t>
  </si>
  <si>
    <t>36,315,778</t>
  </si>
  <si>
    <t>12,304,567</t>
  </si>
  <si>
    <t>57,780,341</t>
  </si>
  <si>
    <t>Eastern Africa</t>
  </si>
  <si>
    <t>CAV</t>
  </si>
  <si>
    <t>Cabo Verde</t>
  </si>
  <si>
    <t>1,103,087</t>
  </si>
  <si>
    <t>CBD</t>
  </si>
  <si>
    <t>Cambodia</t>
  </si>
  <si>
    <t>0660</t>
  </si>
  <si>
    <t>EAPR</t>
  </si>
  <si>
    <t>South-eastern Asia</t>
  </si>
  <si>
    <t>2,103,876</t>
  </si>
  <si>
    <t>13,628,963</t>
  </si>
  <si>
    <t>5,430,686</t>
  </si>
  <si>
    <t>21,163,525</t>
  </si>
  <si>
    <t>CAR</t>
  </si>
  <si>
    <t>Central African Republic</t>
  </si>
  <si>
    <t>0750</t>
  </si>
  <si>
    <t>20,960,393</t>
  </si>
  <si>
    <t>37,562,962</t>
  </si>
  <si>
    <t>7,584,115</t>
  </si>
  <si>
    <t>66,107,470</t>
  </si>
  <si>
    <t>CHD</t>
  </si>
  <si>
    <t>Chad</t>
  </si>
  <si>
    <t>0810</t>
  </si>
  <si>
    <t>38,089,037</t>
  </si>
  <si>
    <t>60,332,527</t>
  </si>
  <si>
    <t>26,361,773</t>
  </si>
  <si>
    <t>124,783,337</t>
  </si>
  <si>
    <t>CLE</t>
  </si>
  <si>
    <t>Chile</t>
  </si>
  <si>
    <t>0840</t>
  </si>
  <si>
    <t>2,844,293</t>
  </si>
  <si>
    <t>1,024,759</t>
  </si>
  <si>
    <t>4,633,674</t>
  </si>
  <si>
    <t>CHN</t>
  </si>
  <si>
    <t>China</t>
  </si>
  <si>
    <t>0860</t>
  </si>
  <si>
    <t>Eastern Asia</t>
  </si>
  <si>
    <t>52,803,145</t>
  </si>
  <si>
    <t>52,810,009</t>
  </si>
  <si>
    <t>COL</t>
  </si>
  <si>
    <t>Colombia</t>
  </si>
  <si>
    <t>0930</t>
  </si>
  <si>
    <t>7,658,906</t>
  </si>
  <si>
    <t>12,938,763</t>
  </si>
  <si>
    <t>1,127,345</t>
  </si>
  <si>
    <t>21,725,014</t>
  </si>
  <si>
    <t>COM</t>
  </si>
  <si>
    <t>Comoros</t>
  </si>
  <si>
    <t>2,649,488</t>
  </si>
  <si>
    <t>1,576,315</t>
  </si>
  <si>
    <t>5,186,977</t>
  </si>
  <si>
    <t>CBR</t>
  </si>
  <si>
    <t>Congo</t>
  </si>
  <si>
    <t>2,315,227</t>
  </si>
  <si>
    <t>6,248,065</t>
  </si>
  <si>
    <t>2,636,098</t>
  </si>
  <si>
    <t>11,199,390</t>
  </si>
  <si>
    <t>COK</t>
  </si>
  <si>
    <t>Cook Islands</t>
  </si>
  <si>
    <t>Fiji</t>
  </si>
  <si>
    <t>1430N00000</t>
  </si>
  <si>
    <t>Oceania</t>
  </si>
  <si>
    <t>Polynesia</t>
  </si>
  <si>
    <t>Pacific Islands multi-country programme (Fiji)</t>
  </si>
  <si>
    <t>CTR</t>
  </si>
  <si>
    <t>Costa Rica</t>
  </si>
  <si>
    <t>2,627,696</t>
  </si>
  <si>
    <t>4,104,908</t>
  </si>
  <si>
    <t>IVC</t>
  </si>
  <si>
    <t>Cote D'Ivoire</t>
  </si>
  <si>
    <t>1,712,085</t>
  </si>
  <si>
    <t>44,853,697</t>
  </si>
  <si>
    <t>12,329,011</t>
  </si>
  <si>
    <t>58,894,793</t>
  </si>
  <si>
    <t>CRO</t>
  </si>
  <si>
    <t>Croatia</t>
  </si>
  <si>
    <t>2,371,293</t>
  </si>
  <si>
    <t>3,262,896</t>
  </si>
  <si>
    <t>CBA</t>
  </si>
  <si>
    <t>Cuba</t>
  </si>
  <si>
    <t>3,062,700</t>
  </si>
  <si>
    <t>2,454,546</t>
  </si>
  <si>
    <t>1,919,080</t>
  </si>
  <si>
    <t>7,436,326</t>
  </si>
  <si>
    <t>DRC</t>
  </si>
  <si>
    <t>Democratic Republic of Congo</t>
  </si>
  <si>
    <t>0990</t>
  </si>
  <si>
    <t>115,990,103</t>
  </si>
  <si>
    <t>98,201,517</t>
  </si>
  <si>
    <t>52,573,444</t>
  </si>
  <si>
    <t>266,765,064</t>
  </si>
  <si>
    <t>DJB</t>
  </si>
  <si>
    <t>Djibouti</t>
  </si>
  <si>
    <t>1,759,381</t>
  </si>
  <si>
    <t>4,848,928</t>
  </si>
  <si>
    <t>1,952,258</t>
  </si>
  <si>
    <t>8,560,567</t>
  </si>
  <si>
    <t>DMA</t>
  </si>
  <si>
    <t>Dominica</t>
  </si>
  <si>
    <t>0420RAM304</t>
  </si>
  <si>
    <t>DMR</t>
  </si>
  <si>
    <t>Dominican Republic</t>
  </si>
  <si>
    <t>1,570,022</t>
  </si>
  <si>
    <t>5,132,169</t>
  </si>
  <si>
    <t>1,939,343</t>
  </si>
  <si>
    <t>8,641,534</t>
  </si>
  <si>
    <t>DRK</t>
  </si>
  <si>
    <t>DP Republic of Korea</t>
  </si>
  <si>
    <t>1,494,100</t>
  </si>
  <si>
    <t>2,491,532</t>
  </si>
  <si>
    <t>2,417,859</t>
  </si>
  <si>
    <t>6,403,491</t>
  </si>
  <si>
    <t>ECU</t>
  </si>
  <si>
    <t>Ecuador</t>
  </si>
  <si>
    <t>5,423,822</t>
  </si>
  <si>
    <t>5,118,756</t>
  </si>
  <si>
    <t>1,551,846</t>
  </si>
  <si>
    <t>12,094,424</t>
  </si>
  <si>
    <t>EGY</t>
  </si>
  <si>
    <t>Egypt</t>
  </si>
  <si>
    <t>12,551,160</t>
  </si>
  <si>
    <t>16,056,597</t>
  </si>
  <si>
    <t>3,892,207</t>
  </si>
  <si>
    <t>32,499,964</t>
  </si>
  <si>
    <t>ESL</t>
  </si>
  <si>
    <t>El Salvador</t>
  </si>
  <si>
    <t>1,825,598</t>
  </si>
  <si>
    <t>2,018,343</t>
  </si>
  <si>
    <t>1,718,237</t>
  </si>
  <si>
    <t>5,562,178</t>
  </si>
  <si>
    <t>EQG</t>
  </si>
  <si>
    <t>Equatorial Guinea</t>
  </si>
  <si>
    <t>2,000,720</t>
  </si>
  <si>
    <t>1,393,611</t>
  </si>
  <si>
    <t>4,054,003</t>
  </si>
  <si>
    <t>ERT</t>
  </si>
  <si>
    <t>Eritrea</t>
  </si>
  <si>
    <t>4,553,241</t>
  </si>
  <si>
    <t>5,582,403</t>
  </si>
  <si>
    <t>2,550,906</t>
  </si>
  <si>
    <t>12,686,550</t>
  </si>
  <si>
    <t>SZD</t>
  </si>
  <si>
    <t>Eswatini</t>
  </si>
  <si>
    <t>1,545,208</t>
  </si>
  <si>
    <t>1,559,681</t>
  </si>
  <si>
    <t>3,529,017</t>
  </si>
  <si>
    <t>ETH</t>
  </si>
  <si>
    <t>Ethiopia</t>
  </si>
  <si>
    <t>120,553,163</t>
  </si>
  <si>
    <t>171,018,722</t>
  </si>
  <si>
    <t>36,804,764</t>
  </si>
  <si>
    <t>328,376,649</t>
  </si>
  <si>
    <t>FJI</t>
  </si>
  <si>
    <t>1430B00000</t>
  </si>
  <si>
    <t>Melanesia</t>
  </si>
  <si>
    <t>14,421,427</t>
  </si>
  <si>
    <t>31,891,364</t>
  </si>
  <si>
    <t>13,302,939</t>
  </si>
  <si>
    <t>59,615,730</t>
  </si>
  <si>
    <t>GAB</t>
  </si>
  <si>
    <t>Gabon</t>
  </si>
  <si>
    <t>1,202,155</t>
  </si>
  <si>
    <t>2,315,036</t>
  </si>
  <si>
    <t>GAM</t>
  </si>
  <si>
    <t>Gambia</t>
  </si>
  <si>
    <t>1,026,214</t>
  </si>
  <si>
    <t>3,720,778</t>
  </si>
  <si>
    <t>2,662,517</t>
  </si>
  <si>
    <t>7,409,509</t>
  </si>
  <si>
    <t>GEO</t>
  </si>
  <si>
    <t>Georgia</t>
  </si>
  <si>
    <t>1,899,142</t>
  </si>
  <si>
    <t>1,435,153</t>
  </si>
  <si>
    <t>3,576,623</t>
  </si>
  <si>
    <t>GHA</t>
  </si>
  <si>
    <t>Ghana</t>
  </si>
  <si>
    <t>1,169,883</t>
  </si>
  <si>
    <t>20,306,011</t>
  </si>
  <si>
    <t>8,950,166</t>
  </si>
  <si>
    <t>30,426,060</t>
  </si>
  <si>
    <t>GRC</t>
  </si>
  <si>
    <t>Greece</t>
  </si>
  <si>
    <t>33,500,277</t>
  </si>
  <si>
    <t>34,386,033</t>
  </si>
  <si>
    <t>GRD</t>
  </si>
  <si>
    <t>Grenada</t>
  </si>
  <si>
    <t>0420RAM305</t>
  </si>
  <si>
    <t>GUA</t>
  </si>
  <si>
    <t>Guatemala</t>
  </si>
  <si>
    <t>6,789,025</t>
  </si>
  <si>
    <t>6,977,879</t>
  </si>
  <si>
    <t>2,858,933</t>
  </si>
  <si>
    <t>16,625,837</t>
  </si>
  <si>
    <t>GUI</t>
  </si>
  <si>
    <t>Guinea</t>
  </si>
  <si>
    <t>2,329,827</t>
  </si>
  <si>
    <t>11,970,891</t>
  </si>
  <si>
    <t>10,697,032</t>
  </si>
  <si>
    <t>24,997,750</t>
  </si>
  <si>
    <t>BIS</t>
  </si>
  <si>
    <t>Guinea Bissau</t>
  </si>
  <si>
    <t>10,453,711</t>
  </si>
  <si>
    <t>2,312,747</t>
  </si>
  <si>
    <t>12,947,584</t>
  </si>
  <si>
    <t>GUY</t>
  </si>
  <si>
    <t>Guyana</t>
  </si>
  <si>
    <t>1800RAM301</t>
  </si>
  <si>
    <t>Guyana and Suriname country programme (Guyana)</t>
  </si>
  <si>
    <t>2,189,599</t>
  </si>
  <si>
    <t>3,482,765</t>
  </si>
  <si>
    <t>HTI</t>
  </si>
  <si>
    <t>Haiti</t>
  </si>
  <si>
    <t>28,579,425</t>
  </si>
  <si>
    <t>16,003,848</t>
  </si>
  <si>
    <t>14,690,503</t>
  </si>
  <si>
    <t>59,273,776</t>
  </si>
  <si>
    <t>HON</t>
  </si>
  <si>
    <t>Honduras</t>
  </si>
  <si>
    <t>6,326,042</t>
  </si>
  <si>
    <t>3,488,654</t>
  </si>
  <si>
    <t>2,374,962</t>
  </si>
  <si>
    <t>12,189,658</t>
  </si>
  <si>
    <t>IND</t>
  </si>
  <si>
    <t>India</t>
  </si>
  <si>
    <t>1,830,496</t>
  </si>
  <si>
    <t>49,917,299</t>
  </si>
  <si>
    <t>36,925,292</t>
  </si>
  <si>
    <t>88,673,087</t>
  </si>
  <si>
    <t>IDS</t>
  </si>
  <si>
    <t>Indonesia</t>
  </si>
  <si>
    <t>1,347,160</t>
  </si>
  <si>
    <t>21,770,971</t>
  </si>
  <si>
    <t>6,038,263</t>
  </si>
  <si>
    <t>29,156,394</t>
  </si>
  <si>
    <t>IRN</t>
  </si>
  <si>
    <t>Iran</t>
  </si>
  <si>
    <t>4,721,971</t>
  </si>
  <si>
    <t>1,450,821</t>
  </si>
  <si>
    <t>2,976,635</t>
  </si>
  <si>
    <t>9,149,427</t>
  </si>
  <si>
    <t>IRQ</t>
  </si>
  <si>
    <t>Iraq</t>
  </si>
  <si>
    <t>6,358,543</t>
  </si>
  <si>
    <t>23,205,907</t>
  </si>
  <si>
    <t>3,790,235</t>
  </si>
  <si>
    <t>33,354,685</t>
  </si>
  <si>
    <t>JAM</t>
  </si>
  <si>
    <t>Jamaica</t>
  </si>
  <si>
    <t>1,833,541</t>
  </si>
  <si>
    <t>1,530,997</t>
  </si>
  <si>
    <t>3,869,300</t>
  </si>
  <si>
    <t>JDN</t>
  </si>
  <si>
    <t>Jordan</t>
  </si>
  <si>
    <t>42,045,352</t>
  </si>
  <si>
    <t>28,949,923</t>
  </si>
  <si>
    <t>2,347,188</t>
  </si>
  <si>
    <t>73,342,463</t>
  </si>
  <si>
    <t>KAZ</t>
  </si>
  <si>
    <t>Kazakhstan</t>
  </si>
  <si>
    <t>Central Asia</t>
  </si>
  <si>
    <t>1,881,379</t>
  </si>
  <si>
    <t>1,739,013</t>
  </si>
  <si>
    <t>3,730,672</t>
  </si>
  <si>
    <t>KEN</t>
  </si>
  <si>
    <t>Kenya</t>
  </si>
  <si>
    <t>16,690,667</t>
  </si>
  <si>
    <t>33,579,535</t>
  </si>
  <si>
    <t>11,584,267</t>
  </si>
  <si>
    <t>61,854,469</t>
  </si>
  <si>
    <t>KIR</t>
  </si>
  <si>
    <t>Kiribati</t>
  </si>
  <si>
    <t>1430F00000</t>
  </si>
  <si>
    <t>Micronesia</t>
  </si>
  <si>
    <t>KOS</t>
  </si>
  <si>
    <t>Kosovo (UN SC resolution 1244)</t>
  </si>
  <si>
    <t>3,530,636</t>
  </si>
  <si>
    <t>1,592,183</t>
  </si>
  <si>
    <t>5,164,794</t>
  </si>
  <si>
    <t>KWT</t>
  </si>
  <si>
    <t>Kuwait</t>
  </si>
  <si>
    <t>3780F00000</t>
  </si>
  <si>
    <t>LAO</t>
  </si>
  <si>
    <t>Lao People's Dem Rep.</t>
  </si>
  <si>
    <t>1,066,877</t>
  </si>
  <si>
    <t>14,018,645</t>
  </si>
  <si>
    <t>2,807,499</t>
  </si>
  <si>
    <t>17,893,021</t>
  </si>
  <si>
    <t>LEB</t>
  </si>
  <si>
    <t>Lebanon</t>
  </si>
  <si>
    <t>79,593,078</t>
  </si>
  <si>
    <t>198,746,261</t>
  </si>
  <si>
    <t>13,183,722</t>
  </si>
  <si>
    <t>291,523,061</t>
  </si>
  <si>
    <t>LES</t>
  </si>
  <si>
    <t>Lesotho</t>
  </si>
  <si>
    <t>2,639,940</t>
  </si>
  <si>
    <t>7,149,362</t>
  </si>
  <si>
    <t>1,877,170</t>
  </si>
  <si>
    <t>11,666,472</t>
  </si>
  <si>
    <t>LBR</t>
  </si>
  <si>
    <t>Liberia</t>
  </si>
  <si>
    <t>4,933,276</t>
  </si>
  <si>
    <t>5,458,386</t>
  </si>
  <si>
    <t>11,012,485</t>
  </si>
  <si>
    <t>LBY</t>
  </si>
  <si>
    <t>Libya</t>
  </si>
  <si>
    <t>13,626,178</t>
  </si>
  <si>
    <t>9,967,772</t>
  </si>
  <si>
    <t>1,746,666</t>
  </si>
  <si>
    <t>25,340,616</t>
  </si>
  <si>
    <t>MDG</t>
  </si>
  <si>
    <t>Madagascar</t>
  </si>
  <si>
    <t>12,085,586</t>
  </si>
  <si>
    <t>48,872,144</t>
  </si>
  <si>
    <t>17,607,866</t>
  </si>
  <si>
    <t>78,565,596</t>
  </si>
  <si>
    <t>MLW</t>
  </si>
  <si>
    <t>Malawi</t>
  </si>
  <si>
    <t>8,597,757</t>
  </si>
  <si>
    <t>39,389,147</t>
  </si>
  <si>
    <t>11,043,540</t>
  </si>
  <si>
    <t>59,030,444</t>
  </si>
  <si>
    <t>MLY</t>
  </si>
  <si>
    <t>Malaysia</t>
  </si>
  <si>
    <t>8,158,207</t>
  </si>
  <si>
    <t>9,131,601</t>
  </si>
  <si>
    <t>MAL</t>
  </si>
  <si>
    <t>Maldives</t>
  </si>
  <si>
    <t>1,685,340</t>
  </si>
  <si>
    <t>1,988,308</t>
  </si>
  <si>
    <t>4,121,200</t>
  </si>
  <si>
    <t>MLI</t>
  </si>
  <si>
    <t>Mali</t>
  </si>
  <si>
    <t>19,094,496</t>
  </si>
  <si>
    <t>59,176,525</t>
  </si>
  <si>
    <t>20,062,209</t>
  </si>
  <si>
    <t>98,333,230</t>
  </si>
  <si>
    <t>MHL</t>
  </si>
  <si>
    <t>Marshall Islands</t>
  </si>
  <si>
    <t>1430G00000</t>
  </si>
  <si>
    <t>MTA</t>
  </si>
  <si>
    <t>Mauritania</t>
  </si>
  <si>
    <t>2,162,224</t>
  </si>
  <si>
    <t>19,816,051</t>
  </si>
  <si>
    <t>2,766,046</t>
  </si>
  <si>
    <t>24,744,321</t>
  </si>
  <si>
    <t>MEX</t>
  </si>
  <si>
    <t>Mexico</t>
  </si>
  <si>
    <t>11,559,161</t>
  </si>
  <si>
    <t>12,809,550</t>
  </si>
  <si>
    <t>1,075,289</t>
  </si>
  <si>
    <t>25,444,000</t>
  </si>
  <si>
    <t>FSM</t>
  </si>
  <si>
    <t>1430H00000</t>
  </si>
  <si>
    <t>MOL</t>
  </si>
  <si>
    <t>Moldova</t>
  </si>
  <si>
    <t>20,173,848</t>
  </si>
  <si>
    <t>10,148,883</t>
  </si>
  <si>
    <t>1,276,123</t>
  </si>
  <si>
    <t>31,598,854</t>
  </si>
  <si>
    <t>MGL</t>
  </si>
  <si>
    <t>Mongolia</t>
  </si>
  <si>
    <t>9,748,845</t>
  </si>
  <si>
    <t>1,736,768</t>
  </si>
  <si>
    <t>12,083,170</t>
  </si>
  <si>
    <t>MSR</t>
  </si>
  <si>
    <t>Montserrat</t>
  </si>
  <si>
    <t>0420RAM306</t>
  </si>
  <si>
    <t>MOR</t>
  </si>
  <si>
    <t>Morocco</t>
  </si>
  <si>
    <t>1,063,621</t>
  </si>
  <si>
    <t>6,265,430</t>
  </si>
  <si>
    <t>2,421,938</t>
  </si>
  <si>
    <t>9,750,989</t>
  </si>
  <si>
    <t>MAM</t>
  </si>
  <si>
    <t>Myanmar</t>
  </si>
  <si>
    <t>0600</t>
  </si>
  <si>
    <t>38,763,436</t>
  </si>
  <si>
    <t>41,019,118</t>
  </si>
  <si>
    <t>13,396,568</t>
  </si>
  <si>
    <t>93,179,122</t>
  </si>
  <si>
    <t>NMB</t>
  </si>
  <si>
    <t>Namibia</t>
  </si>
  <si>
    <t>2,508,355</t>
  </si>
  <si>
    <t>2,068,575</t>
  </si>
  <si>
    <t>1,477,179</t>
  </si>
  <si>
    <t>6,054,109</t>
  </si>
  <si>
    <t>NRU</t>
  </si>
  <si>
    <t>Nauru</t>
  </si>
  <si>
    <t>1430I00000</t>
  </si>
  <si>
    <t>NEP</t>
  </si>
  <si>
    <t>Nepal</t>
  </si>
  <si>
    <t>3,963,476</t>
  </si>
  <si>
    <t>19,063,713</t>
  </si>
  <si>
    <t>6,611,925</t>
  </si>
  <si>
    <t>29,639,114</t>
  </si>
  <si>
    <t>NIC</t>
  </si>
  <si>
    <t>Nicaragua</t>
  </si>
  <si>
    <t>1,598,817</t>
  </si>
  <si>
    <t>1,716,573</t>
  </si>
  <si>
    <t>3,644,273</t>
  </si>
  <si>
    <t>NIG</t>
  </si>
  <si>
    <t>Niger</t>
  </si>
  <si>
    <t>23,237,723</t>
  </si>
  <si>
    <t>59,001,538</t>
  </si>
  <si>
    <t>27,963,458</t>
  </si>
  <si>
    <t>110,202,719</t>
  </si>
  <si>
    <t>NGR</t>
  </si>
  <si>
    <t>Nigeria</t>
  </si>
  <si>
    <t>73,062,018</t>
  </si>
  <si>
    <t>136,297,703</t>
  </si>
  <si>
    <t>59,829,038</t>
  </si>
  <si>
    <t>269,188,759</t>
  </si>
  <si>
    <t>NIU</t>
  </si>
  <si>
    <t>Niue</t>
  </si>
  <si>
    <t>1430M00000</t>
  </si>
  <si>
    <t>MCD</t>
  </si>
  <si>
    <t>North Macedonia</t>
  </si>
  <si>
    <t>1,477,236</t>
  </si>
  <si>
    <t>2,254,573</t>
  </si>
  <si>
    <t>OMN</t>
  </si>
  <si>
    <t>Oman</t>
  </si>
  <si>
    <t>1,171,850</t>
  </si>
  <si>
    <t>1,338,377</t>
  </si>
  <si>
    <t>PAK</t>
  </si>
  <si>
    <t>Pakistan</t>
  </si>
  <si>
    <t>25,072,280</t>
  </si>
  <si>
    <t>102,797,143</t>
  </si>
  <si>
    <t>44,025,797</t>
  </si>
  <si>
    <t>171,895,220</t>
  </si>
  <si>
    <t>PLW</t>
  </si>
  <si>
    <t>Palau</t>
  </si>
  <si>
    <t>1430J00000</t>
  </si>
  <si>
    <t>OPT</t>
  </si>
  <si>
    <t>Palestine, State of</t>
  </si>
  <si>
    <t>273,130,874</t>
  </si>
  <si>
    <t>26,479,554</t>
  </si>
  <si>
    <t>2,270,176</t>
  </si>
  <si>
    <t>301,880,604</t>
  </si>
  <si>
    <t>PAN</t>
  </si>
  <si>
    <t>Panama</t>
  </si>
  <si>
    <t>4,097,067</t>
  </si>
  <si>
    <t>1,568,589</t>
  </si>
  <si>
    <t>1,017,110</t>
  </si>
  <si>
    <t>6,682,766</t>
  </si>
  <si>
    <t>PNG</t>
  </si>
  <si>
    <t>Papua New Guinea</t>
  </si>
  <si>
    <t>2,724,552</t>
  </si>
  <si>
    <t>16,086,740</t>
  </si>
  <si>
    <t>3,047,714</t>
  </si>
  <si>
    <t>21,859,006</t>
  </si>
  <si>
    <t>PAR</t>
  </si>
  <si>
    <t>Paraguay</t>
  </si>
  <si>
    <t>2,915,521</t>
  </si>
  <si>
    <t>1,587,381</t>
  </si>
  <si>
    <t>4,517,822</t>
  </si>
  <si>
    <t>PER</t>
  </si>
  <si>
    <t>Peru</t>
  </si>
  <si>
    <t>2,814,058</t>
  </si>
  <si>
    <t>4,810,804</t>
  </si>
  <si>
    <t>1,350,547</t>
  </si>
  <si>
    <t>8,975,409</t>
  </si>
  <si>
    <t>PHI</t>
  </si>
  <si>
    <t>Philippines</t>
  </si>
  <si>
    <t>15,343,253</t>
  </si>
  <si>
    <t>24,286,535</t>
  </si>
  <si>
    <t>5,132,302</t>
  </si>
  <si>
    <t>44,762,090</t>
  </si>
  <si>
    <t>Poland</t>
  </si>
  <si>
    <t>25,047,664</t>
  </si>
  <si>
    <t>2,077,227</t>
  </si>
  <si>
    <t>26,802,986</t>
  </si>
  <si>
    <t>QAT</t>
  </si>
  <si>
    <t>Qatar</t>
  </si>
  <si>
    <t>3780G00000</t>
  </si>
  <si>
    <t>UZB</t>
  </si>
  <si>
    <t>Rep of Uzbekistan</t>
  </si>
  <si>
    <t>1,258,756</t>
  </si>
  <si>
    <t>26,463,401</t>
  </si>
  <si>
    <t>3,914,540</t>
  </si>
  <si>
    <t>31,636,697</t>
  </si>
  <si>
    <t>CAM</t>
  </si>
  <si>
    <t>Republic of Cameroon</t>
  </si>
  <si>
    <t>0690</t>
  </si>
  <si>
    <t>15,235,193</t>
  </si>
  <si>
    <t>25,406,111</t>
  </si>
  <si>
    <t>16,175,032</t>
  </si>
  <si>
    <t>56,816,336</t>
  </si>
  <si>
    <t>Republic of Kyrgyzstan</t>
  </si>
  <si>
    <t>4,344,088</t>
  </si>
  <si>
    <t>1,840,383</t>
  </si>
  <si>
    <t>6,778,146</t>
  </si>
  <si>
    <t>MNE</t>
  </si>
  <si>
    <t>Republic of Montenegro</t>
  </si>
  <si>
    <t>1,882,144</t>
  </si>
  <si>
    <t>1,404,413</t>
  </si>
  <si>
    <t>3,537,363</t>
  </si>
  <si>
    <t>MOZ</t>
  </si>
  <si>
    <t>Republic of Mozambique</t>
  </si>
  <si>
    <t>22,946,471</t>
  </si>
  <si>
    <t>67,717,832</t>
  </si>
  <si>
    <t>26,208,436</t>
  </si>
  <si>
    <t>116,872,739</t>
  </si>
  <si>
    <t>ROM</t>
  </si>
  <si>
    <t>Romania</t>
  </si>
  <si>
    <t>3,009,612</t>
  </si>
  <si>
    <t>4,838,368</t>
  </si>
  <si>
    <t>1,158,561</t>
  </si>
  <si>
    <t>9,006,541</t>
  </si>
  <si>
    <t>RWA</t>
  </si>
  <si>
    <t>Rwanda</t>
  </si>
  <si>
    <t>2,866,242</t>
  </si>
  <si>
    <t>26,071,141</t>
  </si>
  <si>
    <t>6,827,945</t>
  </si>
  <si>
    <t>35,765,328</t>
  </si>
  <si>
    <t>WSM</t>
  </si>
  <si>
    <t>Samoa</t>
  </si>
  <si>
    <t>1430C00000</t>
  </si>
  <si>
    <t>STP</t>
  </si>
  <si>
    <t>Sao Tome &amp; Principe</t>
  </si>
  <si>
    <t>1,399,522</t>
  </si>
  <si>
    <t>2,442,137</t>
  </si>
  <si>
    <t>SAU</t>
  </si>
  <si>
    <t>3780RAM301</t>
  </si>
  <si>
    <t>1,422,258</t>
  </si>
  <si>
    <t>1,143,165</t>
  </si>
  <si>
    <t>2,565,430</t>
  </si>
  <si>
    <t>SEN</t>
  </si>
  <si>
    <t>Senegal</t>
  </si>
  <si>
    <t>7,885,196</t>
  </si>
  <si>
    <t>5,452,331</t>
  </si>
  <si>
    <t>13,694,354</t>
  </si>
  <si>
    <t>SRB</t>
  </si>
  <si>
    <t>Serbia</t>
  </si>
  <si>
    <t>3,450,126</t>
  </si>
  <si>
    <t>1,884,384</t>
  </si>
  <si>
    <t>5,895,726</t>
  </si>
  <si>
    <t>SRL</t>
  </si>
  <si>
    <t>Sierra Leone</t>
  </si>
  <si>
    <t>4,061,369</t>
  </si>
  <si>
    <t>29,018,944</t>
  </si>
  <si>
    <t>11,134,696</t>
  </si>
  <si>
    <t>44,215,009</t>
  </si>
  <si>
    <t>SLB</t>
  </si>
  <si>
    <t>Solomon Islands</t>
  </si>
  <si>
    <t>1430D00000</t>
  </si>
  <si>
    <t>SOM</t>
  </si>
  <si>
    <t>Somalia</t>
  </si>
  <si>
    <t>50,250,004</t>
  </si>
  <si>
    <t>121,186,770</t>
  </si>
  <si>
    <t>25,407,308</t>
  </si>
  <si>
    <t>196,844,082</t>
  </si>
  <si>
    <t>SAF</t>
  </si>
  <si>
    <t>South Africa</t>
  </si>
  <si>
    <t>8,822,001</t>
  </si>
  <si>
    <t>1,931,586</t>
  </si>
  <si>
    <t>11,105,556</t>
  </si>
  <si>
    <t>SSD</t>
  </si>
  <si>
    <t>South Sudan</t>
  </si>
  <si>
    <t>73,945,541</t>
  </si>
  <si>
    <t>165,428,678</t>
  </si>
  <si>
    <t>33,977,454</t>
  </si>
  <si>
    <t>273,351,673</t>
  </si>
  <si>
    <t>SRI</t>
  </si>
  <si>
    <t>Sri Lanka</t>
  </si>
  <si>
    <t>0780</t>
  </si>
  <si>
    <t>1,298,088</t>
  </si>
  <si>
    <t>4,823,011</t>
  </si>
  <si>
    <t>1,930,947</t>
  </si>
  <si>
    <t>8,052,046</t>
  </si>
  <si>
    <t>KNA</t>
  </si>
  <si>
    <t>St. Kitts and Nevis</t>
  </si>
  <si>
    <t>0420RAM307</t>
  </si>
  <si>
    <t>LCA</t>
  </si>
  <si>
    <t>St. Lucia</t>
  </si>
  <si>
    <t>0420RAM308</t>
  </si>
  <si>
    <t>VCT</t>
  </si>
  <si>
    <t>St. Vincent and the Grenadines</t>
  </si>
  <si>
    <t>0420RAM309</t>
  </si>
  <si>
    <t>SUD</t>
  </si>
  <si>
    <t>Sudan</t>
  </si>
  <si>
    <t>172,151,528</t>
  </si>
  <si>
    <t>224,747,553</t>
  </si>
  <si>
    <t>21,163,619</t>
  </si>
  <si>
    <t>418,062,700</t>
  </si>
  <si>
    <t>SUR</t>
  </si>
  <si>
    <t>Suriname</t>
  </si>
  <si>
    <t>1800C00000</t>
  </si>
  <si>
    <t>SYR</t>
  </si>
  <si>
    <t>Syria</t>
  </si>
  <si>
    <t>95,367,234</t>
  </si>
  <si>
    <t>40,135,007</t>
  </si>
  <si>
    <t>3,638,430</t>
  </si>
  <si>
    <t>139,140,671</t>
  </si>
  <si>
    <t>TAD</t>
  </si>
  <si>
    <t>Tajikistan</t>
  </si>
  <si>
    <t>14,696,881</t>
  </si>
  <si>
    <t>4,387,736</t>
  </si>
  <si>
    <t>19,736,804</t>
  </si>
  <si>
    <t>THL</t>
  </si>
  <si>
    <t>Thailand</t>
  </si>
  <si>
    <t>9,251,868</t>
  </si>
  <si>
    <t>1,136,782</t>
  </si>
  <si>
    <t>11,021,882</t>
  </si>
  <si>
    <t>TIM</t>
  </si>
  <si>
    <t>Timor-Leste</t>
  </si>
  <si>
    <t>2,602,547</t>
  </si>
  <si>
    <t>7,942,242</t>
  </si>
  <si>
    <t>1,682,491</t>
  </si>
  <si>
    <t>12,227,280</t>
  </si>
  <si>
    <t>TGO</t>
  </si>
  <si>
    <t>Togo</t>
  </si>
  <si>
    <t>1,860,380</t>
  </si>
  <si>
    <t>3,050,901</t>
  </si>
  <si>
    <t>5,881,956</t>
  </si>
  <si>
    <t>10,793,237</t>
  </si>
  <si>
    <t>TKL</t>
  </si>
  <si>
    <t>Tokelau</t>
  </si>
  <si>
    <t>1430O00000</t>
  </si>
  <si>
    <t>TON</t>
  </si>
  <si>
    <t>Tonga</t>
  </si>
  <si>
    <t>1430K00000</t>
  </si>
  <si>
    <t>TTO</t>
  </si>
  <si>
    <t>Trinidad &amp; Tobago</t>
  </si>
  <si>
    <t>0420C00000</t>
  </si>
  <si>
    <t>TUN</t>
  </si>
  <si>
    <t>Tunisia</t>
  </si>
  <si>
    <t>23,255,528</t>
  </si>
  <si>
    <t>1,135,455</t>
  </si>
  <si>
    <t>24,805,434</t>
  </si>
  <si>
    <t>TUR</t>
  </si>
  <si>
    <t>Türkiye</t>
  </si>
  <si>
    <t>45,435,877</t>
  </si>
  <si>
    <t>24,845,196</t>
  </si>
  <si>
    <t>1,742,624</t>
  </si>
  <si>
    <t>72,023,697</t>
  </si>
  <si>
    <t>TUK</t>
  </si>
  <si>
    <t>Turkmenistan</t>
  </si>
  <si>
    <t>1,711,716</t>
  </si>
  <si>
    <t>2,411,750</t>
  </si>
  <si>
    <t>TCA</t>
  </si>
  <si>
    <t>Turks and Caicos Islands</t>
  </si>
  <si>
    <t>0420RAM310</t>
  </si>
  <si>
    <t>TUV</t>
  </si>
  <si>
    <t>Tuvalu</t>
  </si>
  <si>
    <t>1430L00000</t>
  </si>
  <si>
    <t>ARE</t>
  </si>
  <si>
    <t>UAE</t>
  </si>
  <si>
    <t>3780C00000</t>
  </si>
  <si>
    <t>UGD</t>
  </si>
  <si>
    <t>Uganda</t>
  </si>
  <si>
    <t>10,795,239</t>
  </si>
  <si>
    <t>33,028,392</t>
  </si>
  <si>
    <t>16,994,873</t>
  </si>
  <si>
    <t>60,818,504</t>
  </si>
  <si>
    <t>UKR</t>
  </si>
  <si>
    <t>Ukraine</t>
  </si>
  <si>
    <t>201,577,476</t>
  </si>
  <si>
    <t>108,408,713</t>
  </si>
  <si>
    <t>310,269,647</t>
  </si>
  <si>
    <t>TNZ</t>
  </si>
  <si>
    <t>United Rep. of Tanzania</t>
  </si>
  <si>
    <t>23,016,616</t>
  </si>
  <si>
    <t>17,590,029</t>
  </si>
  <si>
    <t>41,602,875</t>
  </si>
  <si>
    <t>URG</t>
  </si>
  <si>
    <t>Uruguay</t>
  </si>
  <si>
    <t>4,866,417</t>
  </si>
  <si>
    <t>5,711,346</t>
  </si>
  <si>
    <t>VUT</t>
  </si>
  <si>
    <t>Vanuatu</t>
  </si>
  <si>
    <t>VNZ</t>
  </si>
  <si>
    <t>Venezuela</t>
  </si>
  <si>
    <t>42,023,419</t>
  </si>
  <si>
    <t>2,362,165</t>
  </si>
  <si>
    <t>2,635,274</t>
  </si>
  <si>
    <t>47,020,858</t>
  </si>
  <si>
    <t>VTN</t>
  </si>
  <si>
    <t>Vietnam</t>
  </si>
  <si>
    <t>6,438,208</t>
  </si>
  <si>
    <t>9,131,899</t>
  </si>
  <si>
    <t>5,257,696</t>
  </si>
  <si>
    <t>20,827,803</t>
  </si>
  <si>
    <t>YEM</t>
  </si>
  <si>
    <t>Yemen</t>
  </si>
  <si>
    <t>88,959,066</t>
  </si>
  <si>
    <t>113,883,198</t>
  </si>
  <si>
    <t>16,291,332</t>
  </si>
  <si>
    <t>219,133,596</t>
  </si>
  <si>
    <t>ZAM</t>
  </si>
  <si>
    <t>Zambia</t>
  </si>
  <si>
    <t>7,215,421</t>
  </si>
  <si>
    <t>34,453,569</t>
  </si>
  <si>
    <t>13,915,840</t>
  </si>
  <si>
    <t>55,584,830</t>
  </si>
  <si>
    <t>ZIM</t>
  </si>
  <si>
    <t>Zimbabwe</t>
  </si>
  <si>
    <t>3,910,376</t>
  </si>
  <si>
    <t>41,889,523</t>
  </si>
  <si>
    <t>6,208,833</t>
  </si>
  <si>
    <t>52,008,732</t>
  </si>
  <si>
    <t>Stand-alone HAC</t>
  </si>
  <si>
    <t>DZA</t>
  </si>
  <si>
    <t>6810</t>
  </si>
  <si>
    <t>AGO</t>
  </si>
  <si>
    <t>Many</t>
  </si>
  <si>
    <t>5070</t>
  </si>
  <si>
    <t>BGD</t>
  </si>
  <si>
    <t>BRB</t>
  </si>
  <si>
    <t>0420</t>
  </si>
  <si>
    <t>BLR</t>
  </si>
  <si>
    <t>6110</t>
  </si>
  <si>
    <t>BLZ</t>
  </si>
  <si>
    <t>1170</t>
  </si>
  <si>
    <t>BIH</t>
  </si>
  <si>
    <t>BWA</t>
  </si>
  <si>
    <t>BRA</t>
  </si>
  <si>
    <t>BGR</t>
  </si>
  <si>
    <t>4590</t>
  </si>
  <si>
    <t>BFA</t>
  </si>
  <si>
    <t>BDI</t>
  </si>
  <si>
    <t>6820</t>
  </si>
  <si>
    <t>CPV</t>
  </si>
  <si>
    <t>KHM</t>
  </si>
  <si>
    <t>CAF</t>
  </si>
  <si>
    <t>TCD</t>
  </si>
  <si>
    <t>CHL</t>
  </si>
  <si>
    <t>6620</t>
  </si>
  <si>
    <t>3380</t>
  </si>
  <si>
    <t>COG</t>
  </si>
  <si>
    <t>1020</t>
  </si>
  <si>
    <t>CRI</t>
  </si>
  <si>
    <t>2250</t>
  </si>
  <si>
    <t>CIV</t>
  </si>
  <si>
    <t>1030</t>
  </si>
  <si>
    <t>HRV</t>
  </si>
  <si>
    <t>1050</t>
  </si>
  <si>
    <t>CUB</t>
  </si>
  <si>
    <t>COD</t>
  </si>
  <si>
    <t>6690</t>
  </si>
  <si>
    <t>DJI</t>
  </si>
  <si>
    <t>1260</t>
  </si>
  <si>
    <t>DOM</t>
  </si>
  <si>
    <t>5150</t>
  </si>
  <si>
    <t>PRK</t>
  </si>
  <si>
    <t>1350</t>
  </si>
  <si>
    <t>4500</t>
  </si>
  <si>
    <t>1380</t>
  </si>
  <si>
    <t>SLV</t>
  </si>
  <si>
    <t>1390</t>
  </si>
  <si>
    <t>GNQ</t>
  </si>
  <si>
    <t>1420</t>
  </si>
  <si>
    <t>ERI</t>
  </si>
  <si>
    <t>4030</t>
  </si>
  <si>
    <t>SWZ</t>
  </si>
  <si>
    <t>1410</t>
  </si>
  <si>
    <t>1430</t>
  </si>
  <si>
    <t>1530</t>
  </si>
  <si>
    <t>1560</t>
  </si>
  <si>
    <t>GMB</t>
  </si>
  <si>
    <t>1600</t>
  </si>
  <si>
    <t>1620</t>
  </si>
  <si>
    <t>1650</t>
  </si>
  <si>
    <t>1680</t>
  </si>
  <si>
    <t>GTM</t>
  </si>
  <si>
    <t>1770</t>
  </si>
  <si>
    <t>GIN</t>
  </si>
  <si>
    <t>6850</t>
  </si>
  <si>
    <t>GNB</t>
  </si>
  <si>
    <t>1800</t>
  </si>
  <si>
    <t>1830</t>
  </si>
  <si>
    <t>1860</t>
  </si>
  <si>
    <t>HND</t>
  </si>
  <si>
    <t>2040</t>
  </si>
  <si>
    <t>2070</t>
  </si>
  <si>
    <t>IDN</t>
  </si>
  <si>
    <t>2100</t>
  </si>
  <si>
    <t>2130</t>
  </si>
  <si>
    <t>2280</t>
  </si>
  <si>
    <t>2340</t>
  </si>
  <si>
    <t>JOR</t>
  </si>
  <si>
    <t>2390</t>
  </si>
  <si>
    <t>2400</t>
  </si>
  <si>
    <t>8971</t>
  </si>
  <si>
    <t xml:space="preserve">XKX </t>
  </si>
  <si>
    <t>2460</t>
  </si>
  <si>
    <t>2490</t>
  </si>
  <si>
    <t>LBN</t>
  </si>
  <si>
    <t>2520</t>
  </si>
  <si>
    <t>LSO</t>
  </si>
  <si>
    <t>2550</t>
  </si>
  <si>
    <t>2580</t>
  </si>
  <si>
    <t>2670</t>
  </si>
  <si>
    <t>2690</t>
  </si>
  <si>
    <t>MWI</t>
  </si>
  <si>
    <t>2700</t>
  </si>
  <si>
    <t>MYS</t>
  </si>
  <si>
    <t>2740</t>
  </si>
  <si>
    <t>MDV</t>
  </si>
  <si>
    <t>2760</t>
  </si>
  <si>
    <t>2820</t>
  </si>
  <si>
    <t>MRT</t>
  </si>
  <si>
    <t>2850</t>
  </si>
  <si>
    <t>5640</t>
  </si>
  <si>
    <t>MDA</t>
  </si>
  <si>
    <t>2880</t>
  </si>
  <si>
    <t>MNG</t>
  </si>
  <si>
    <t>2910</t>
  </si>
  <si>
    <t>MAR</t>
  </si>
  <si>
    <t>MMR</t>
  </si>
  <si>
    <t>6980</t>
  </si>
  <si>
    <t>NAM</t>
  </si>
  <si>
    <t>2970</t>
  </si>
  <si>
    <t>NPL</t>
  </si>
  <si>
    <t>3120</t>
  </si>
  <si>
    <t>3180</t>
  </si>
  <si>
    <t>NER</t>
  </si>
  <si>
    <t>3210</t>
  </si>
  <si>
    <t>NGA</t>
  </si>
  <si>
    <t>2660</t>
  </si>
  <si>
    <t>MKD</t>
  </si>
  <si>
    <t>6350</t>
  </si>
  <si>
    <t>3300</t>
  </si>
  <si>
    <t>7050</t>
  </si>
  <si>
    <t>PSE</t>
  </si>
  <si>
    <t>3330</t>
  </si>
  <si>
    <t>6490</t>
  </si>
  <si>
    <t>3360</t>
  </si>
  <si>
    <t>PRY</t>
  </si>
  <si>
    <t>3390</t>
  </si>
  <si>
    <t>3420</t>
  </si>
  <si>
    <t>PHL</t>
  </si>
  <si>
    <t>4630</t>
  </si>
  <si>
    <t>CMR</t>
  </si>
  <si>
    <t>2450</t>
  </si>
  <si>
    <t>KGZ</t>
  </si>
  <si>
    <t>8950</t>
  </si>
  <si>
    <t>6890</t>
  </si>
  <si>
    <t>3660</t>
  </si>
  <si>
    <t>ROU</t>
  </si>
  <si>
    <t>3750</t>
  </si>
  <si>
    <t>6830</t>
  </si>
  <si>
    <t>3780</t>
  </si>
  <si>
    <t>3810</t>
  </si>
  <si>
    <t>8970</t>
  </si>
  <si>
    <t>3900</t>
  </si>
  <si>
    <t>SLE</t>
  </si>
  <si>
    <t>3920</t>
  </si>
  <si>
    <t>3930</t>
  </si>
  <si>
    <t>ZAF</t>
  </si>
  <si>
    <t>4040</t>
  </si>
  <si>
    <t>LKA</t>
  </si>
  <si>
    <t>4020</t>
  </si>
  <si>
    <t>SDN</t>
  </si>
  <si>
    <t>4140</t>
  </si>
  <si>
    <t>4150</t>
  </si>
  <si>
    <t>TJK</t>
  </si>
  <si>
    <t>4200</t>
  </si>
  <si>
    <t>THA</t>
  </si>
  <si>
    <t>7060</t>
  </si>
  <si>
    <t>TLS</t>
  </si>
  <si>
    <t>4230</t>
  </si>
  <si>
    <t>4320</t>
  </si>
  <si>
    <t>4350</t>
  </si>
  <si>
    <t>4360</t>
  </si>
  <si>
    <t>TKM</t>
  </si>
  <si>
    <t>4380</t>
  </si>
  <si>
    <t>UGA</t>
  </si>
  <si>
    <t>4410</t>
  </si>
  <si>
    <t>4550</t>
  </si>
  <si>
    <t>TZA</t>
  </si>
  <si>
    <t>4620</t>
  </si>
  <si>
    <t>URY</t>
  </si>
  <si>
    <t>1430E00000</t>
  </si>
  <si>
    <t>4710</t>
  </si>
  <si>
    <t>VEN</t>
  </si>
  <si>
    <t>5200</t>
  </si>
  <si>
    <t>VNM</t>
  </si>
  <si>
    <t>4920</t>
  </si>
  <si>
    <t>4980</t>
  </si>
  <si>
    <t>ZMB</t>
  </si>
  <si>
    <t>6260</t>
  </si>
  <si>
    <t>ZWE</t>
  </si>
  <si>
    <t>Number and List of Country Offices</t>
  </si>
  <si>
    <t>Number and List of Programme Countries and Territories</t>
  </si>
  <si>
    <t>Number and List of Programme Countries and Territories with HACs in 2024</t>
  </si>
  <si>
    <t>Number and List of Humanitarian Countries for IMPACT and OUTCOME reporting</t>
  </si>
  <si>
    <t>46 High-burden Countries for Health</t>
  </si>
  <si>
    <t>(Do not adjust the filter)</t>
  </si>
  <si>
    <t>(All)</t>
  </si>
  <si>
    <t>Row Labels</t>
  </si>
  <si>
    <t>Count of Business
Area</t>
  </si>
  <si>
    <t>(blank)</t>
  </si>
  <si>
    <t>Turkey</t>
  </si>
  <si>
    <t>Antigua&amp;Barbuda</t>
  </si>
  <si>
    <t>Fiji (Pacific Islands)</t>
  </si>
  <si>
    <t>MarshallIslands</t>
  </si>
  <si>
    <t>Saint Lucia</t>
  </si>
  <si>
    <t>St Kitts&amp;Nevis</t>
  </si>
  <si>
    <t>St. Vincent</t>
  </si>
  <si>
    <t>Tokelau Islands</t>
  </si>
  <si>
    <t>Trinidad&amp;Tobago</t>
  </si>
  <si>
    <t>Turks &amp; Caicos</t>
  </si>
  <si>
    <t>Utd.Arab.Emir.</t>
  </si>
  <si>
    <t>Virgin Is. Brit</t>
  </si>
  <si>
    <t>Economy</t>
  </si>
  <si>
    <t>Income group</t>
  </si>
  <si>
    <t>American Samoa</t>
  </si>
  <si>
    <t>Andorra</t>
  </si>
  <si>
    <t>Aruba</t>
  </si>
  <si>
    <t>Australia</t>
  </si>
  <si>
    <t>Austria</t>
  </si>
  <si>
    <t>Bahamas, The</t>
  </si>
  <si>
    <t>Belgium</t>
  </si>
  <si>
    <t>Bermuda</t>
  </si>
  <si>
    <t>Brunei Darussalam</t>
  </si>
  <si>
    <t>Canada</t>
  </si>
  <si>
    <t>Cayman Islands</t>
  </si>
  <si>
    <t>Channel Islands</t>
  </si>
  <si>
    <t>Curaçao</t>
  </si>
  <si>
    <t>Cyprus</t>
  </si>
  <si>
    <t>Czechia</t>
  </si>
  <si>
    <t>Denmark</t>
  </si>
  <si>
    <t>Estonia</t>
  </si>
  <si>
    <t>Faroe Islands</t>
  </si>
  <si>
    <t>Finland</t>
  </si>
  <si>
    <t>France</t>
  </si>
  <si>
    <t>French Polynesia</t>
  </si>
  <si>
    <t>Germany</t>
  </si>
  <si>
    <t>Gibraltar</t>
  </si>
  <si>
    <t>Greenland</t>
  </si>
  <si>
    <t>Guam</t>
  </si>
  <si>
    <t>Hong Kong SAR, China</t>
  </si>
  <si>
    <t>Hungary</t>
  </si>
  <si>
    <t>Iceland</t>
  </si>
  <si>
    <t>Ireland</t>
  </si>
  <si>
    <t>Isle of Man</t>
  </si>
  <si>
    <t>Israel</t>
  </si>
  <si>
    <t>Italy</t>
  </si>
  <si>
    <t>Japan</t>
  </si>
  <si>
    <t>Korea, Rep.</t>
  </si>
  <si>
    <t>Latvia</t>
  </si>
  <si>
    <t>Liechtenstein</t>
  </si>
  <si>
    <t>Lithuania</t>
  </si>
  <si>
    <t>Luxembourg</t>
  </si>
  <si>
    <t>Macao SAR, China</t>
  </si>
  <si>
    <t>Malta</t>
  </si>
  <si>
    <t>Mauritius</t>
  </si>
  <si>
    <t>Monaco</t>
  </si>
  <si>
    <t>Netherlands</t>
  </si>
  <si>
    <t>New Caledonia</t>
  </si>
  <si>
    <t>New Zealand</t>
  </si>
  <si>
    <t>Northern Mariana Islands</t>
  </si>
  <si>
    <t>Norway</t>
  </si>
  <si>
    <t>Portugal</t>
  </si>
  <si>
    <t>Puerto Rico</t>
  </si>
  <si>
    <t>Russian Federation</t>
  </si>
  <si>
    <t>San Marino</t>
  </si>
  <si>
    <t>Seychelles</t>
  </si>
  <si>
    <t>Singapore</t>
  </si>
  <si>
    <t>Sint Maarten (Dutch part)</t>
  </si>
  <si>
    <t>Slovak Republic</t>
  </si>
  <si>
    <t>Slovenia</t>
  </si>
  <si>
    <t>Spain</t>
  </si>
  <si>
    <t>St. Martin (French part)</t>
  </si>
  <si>
    <t>Sweden</t>
  </si>
  <si>
    <t>Switzerland</t>
  </si>
  <si>
    <t>Taiwan, China</t>
  </si>
  <si>
    <t>United Kingdom</t>
  </si>
  <si>
    <t>United States</t>
  </si>
  <si>
    <t>Virgin Islands (U.S.)</t>
  </si>
  <si>
    <t>Cameroon</t>
  </si>
  <si>
    <t>Congo, Dem. Rep.</t>
  </si>
  <si>
    <t>Congo, Rep.</t>
  </si>
  <si>
    <t>Côte d’Ivoire</t>
  </si>
  <si>
    <t>Egypt, Arab Rep.</t>
  </si>
  <si>
    <t>Gambia, The</t>
  </si>
  <si>
    <t>Guinea-Bissau</t>
  </si>
  <si>
    <t>Iran, Islamic Rep.</t>
  </si>
  <si>
    <t>Korea, Dem. People's Rep.</t>
  </si>
  <si>
    <t>Kosovo</t>
  </si>
  <si>
    <t>Kyrgyz Republic</t>
  </si>
  <si>
    <t>Lao PDR</t>
  </si>
  <si>
    <t>Micronesia, Fed. Sts.</t>
  </si>
  <si>
    <t>Montenegro</t>
  </si>
  <si>
    <t>Mozambique</t>
  </si>
  <si>
    <t>Puerto Rico (U.S.)</t>
  </si>
  <si>
    <t>São Tomé and Príncipe</t>
  </si>
  <si>
    <t>Somalia, Fed. Rep.</t>
  </si>
  <si>
    <t>Syrian Arab Republic</t>
  </si>
  <si>
    <t>Tanzania</t>
  </si>
  <si>
    <t>Trinidad and Tobago</t>
  </si>
  <si>
    <t>United Arab Emirates</t>
  </si>
  <si>
    <t>Uzbekistan</t>
  </si>
  <si>
    <t>Venezuela, RB</t>
  </si>
  <si>
    <t>West Bank and Gaza</t>
  </si>
  <si>
    <t>Yemen, Rep.</t>
  </si>
  <si>
    <t>COUNTRY</t>
  </si>
  <si>
    <t>SOURCE</t>
  </si>
  <si>
    <t>SPCA</t>
  </si>
  <si>
    <t>Abyei</t>
  </si>
  <si>
    <t>DAPM</t>
  </si>
  <si>
    <t>Akrotiri (S.B.A.)</t>
  </si>
  <si>
    <t>Aksai chin</t>
  </si>
  <si>
    <t>Åland Islands</t>
  </si>
  <si>
    <t>Antarctica</t>
  </si>
  <si>
    <t>Ascencion (UK)</t>
  </si>
  <si>
    <t>Ashmore &amp; Cartier Is. (Aust.)</t>
  </si>
  <si>
    <t>Azores Is. (Port.)</t>
  </si>
  <si>
    <t>Bahamas</t>
  </si>
  <si>
    <t>Baker Island (USA)</t>
  </si>
  <si>
    <t>Bassas da India (Fr.)</t>
  </si>
  <si>
    <t>Bird Island</t>
  </si>
  <si>
    <t>Bolivia (Plurinational State of)</t>
  </si>
  <si>
    <t>Bonaire, Sint Eustatius and Saba</t>
  </si>
  <si>
    <t>Bouvet Island</t>
  </si>
  <si>
    <t>British Indian Ocean Territory</t>
  </si>
  <si>
    <t>Canary Islands</t>
  </si>
  <si>
    <t>China, Hong Kong Special Administrative Region</t>
  </si>
  <si>
    <t>China, Macao Special Administrative Region</t>
  </si>
  <si>
    <t>China, Taiwan Province of China</t>
  </si>
  <si>
    <t>Christmas Island</t>
  </si>
  <si>
    <t>Clipperton Is. (Fr.)</t>
  </si>
  <si>
    <t>Cocos (Keeling) Islands</t>
  </si>
  <si>
    <t>Dekelia (S.B.A.)</t>
  </si>
  <si>
    <t>Democratic People's Republic of Korea</t>
  </si>
  <si>
    <t>Democratic Republic of the Congo</t>
  </si>
  <si>
    <t>Europa Island (Fr.)</t>
  </si>
  <si>
    <t>Falkland Islands (Malvinas)</t>
  </si>
  <si>
    <t>French Guiana</t>
  </si>
  <si>
    <t>French Southern Territories</t>
  </si>
  <si>
    <t>Glorioso Islands (Fr.)</t>
  </si>
  <si>
    <t>Gough (UK)</t>
  </si>
  <si>
    <t>Guadeloupe</t>
  </si>
  <si>
    <t>Guernsey</t>
  </si>
  <si>
    <t>Heard Island and McDonald Islands</t>
  </si>
  <si>
    <t>Holy See</t>
  </si>
  <si>
    <t>Howland Is. (USA)</t>
  </si>
  <si>
    <t>Iran (Islamic Republic of)</t>
  </si>
  <si>
    <t>Jammu and Kashmir</t>
  </si>
  <si>
    <t>Jarvis Is. (USA)</t>
  </si>
  <si>
    <t>Jersey</t>
  </si>
  <si>
    <t>Juan de Nova Island (Fr.)</t>
  </si>
  <si>
    <t>Kingman Reef (USA)</t>
  </si>
  <si>
    <t>Kyrgyzstan</t>
  </si>
  <si>
    <t>Lao People's Democratic Republic</t>
  </si>
  <si>
    <t>Madeira Islands (Port.)</t>
  </si>
  <si>
    <t>Martinique</t>
  </si>
  <si>
    <t>Mayotte</t>
  </si>
  <si>
    <t>Micronesia (Federated States of)</t>
  </si>
  <si>
    <t>Midway Islands (USA)</t>
  </si>
  <si>
    <t>Navassa Island (USA)</t>
  </si>
  <si>
    <t>Netherlands (Kingdom of the)</t>
  </si>
  <si>
    <t>Norfolk Island</t>
  </si>
  <si>
    <t>Palmyra Atoll (USA)</t>
  </si>
  <si>
    <t>Pitcairn</t>
  </si>
  <si>
    <t>Republic of Korea</t>
  </si>
  <si>
    <t>Republic of Moldova</t>
  </si>
  <si>
    <t>Réunion</t>
  </si>
  <si>
    <t>Saba (Neth.)</t>
  </si>
  <si>
    <t>Saint Barthélemy</t>
  </si>
  <si>
    <t>Saint Helena</t>
  </si>
  <si>
    <t>Saint Kitts and Nevis</t>
  </si>
  <si>
    <t>Saint Martin (French Part)</t>
  </si>
  <si>
    <t>Saint Pierre and Miquelon</t>
  </si>
  <si>
    <t>Saint Vincent and the Grenadines</t>
  </si>
  <si>
    <t>Sao Tome and Principe</t>
  </si>
  <si>
    <t>Sint Eustatius (Neth.)</t>
  </si>
  <si>
    <t>Slovakia</t>
  </si>
  <si>
    <t>South Georgia and the South Sandwich Islands</t>
  </si>
  <si>
    <t>State of Palestine</t>
  </si>
  <si>
    <t>Svalbard and Jan Mayen Islands</t>
  </si>
  <si>
    <t>Tristan da Cunha (UK)</t>
  </si>
  <si>
    <t>Tromelin Island (Fr.)</t>
  </si>
  <si>
    <t>United Kingdom of Great Britain and Northern Ireland</t>
  </si>
  <si>
    <t>United Republic of Tanzania</t>
  </si>
  <si>
    <t>United States Minor Outlying Islands</t>
  </si>
  <si>
    <t>United States of America</t>
  </si>
  <si>
    <t>United States Virgin Islands</t>
  </si>
  <si>
    <t>Venezuela (Bolivarian Republic of)</t>
  </si>
  <si>
    <t>Viet Nam</t>
  </si>
  <si>
    <t>Wake Island (USA)</t>
  </si>
  <si>
    <t>Wallis and Futuna Islands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</si>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</sst>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family val="2"/>
      <scheme val="minor"/>
    </font>
    <font>
      <b/>
      <sz val="8"/>
      <color rgb="FFF8F8FF"/>
      <name val="Verdana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5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11"/>
      <name val="Calibri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Verdana"/>
      <family val="2"/>
    </font>
    <font>
      <sz val="9"/>
      <color rgb="FF00B050"/>
      <name val="Verdana"/>
      <family val="2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9C0006"/>
      <name val="Verdana"/>
      <family val="2"/>
    </font>
    <font>
      <b/>
      <sz val="9"/>
      <color rgb="FFFFFFFF"/>
      <name val="Verdana"/>
      <family val="2"/>
    </font>
    <font>
      <b/>
      <sz val="9"/>
      <color rgb="FFF8F8FF"/>
      <name val="Verdana"/>
      <family val="2"/>
    </font>
  </fonts>
  <fills count="19">
    <fill>
      <patternFill patternType="none"/>
    </fill>
    <fill>
      <patternFill patternType="gray125"/>
    </fill>
    <fill>
      <patternFill patternType="solid">
        <fgColor rgb="FF215967"/>
        <bgColor rgb="FF415989"/>
      </patternFill>
    </fill>
    <fill>
      <patternFill patternType="solid">
        <fgColor rgb="FF415989"/>
        <bgColor rgb="FF415989"/>
      </patternFill>
    </fill>
    <fill>
      <patternFill patternType="solid">
        <fgColor theme="5"/>
        <bgColor rgb="FF41598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rgb="FF415989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39997558519241921"/>
        <bgColor rgb="FF41598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rgb="FF305496"/>
        <bgColor rgb="FF305496"/>
      </patternFill>
    </fill>
    <fill>
      <patternFill patternType="solid">
        <fgColor rgb="FFF4B084"/>
        <bgColor rgb="FF415989"/>
      </patternFill>
    </fill>
    <fill>
      <patternFill patternType="solid">
        <fgColor rgb="FFFFC7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305496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8" fillId="0" borderId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8" fillId="0" borderId="0"/>
    <xf numFmtId="0" fontId="22" fillId="0" borderId="0"/>
    <xf numFmtId="0" fontId="3" fillId="0" borderId="0"/>
    <xf numFmtId="0" fontId="12" fillId="0" borderId="0"/>
  </cellStyleXfs>
  <cellXfs count="107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4" fillId="0" borderId="0" xfId="1" applyFont="1"/>
    <xf numFmtId="0" fontId="3" fillId="0" borderId="0" xfId="1"/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0" borderId="0" xfId="1" applyFont="1" applyAlignment="1">
      <alignment horizontal="center" vertical="center"/>
    </xf>
    <xf numFmtId="0" fontId="1" fillId="3" borderId="0" xfId="0" applyFont="1" applyFill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 readingOrder="1"/>
    </xf>
    <xf numFmtId="0" fontId="2" fillId="0" borderId="4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49" fontId="2" fillId="0" borderId="1" xfId="0" applyNumberFormat="1" applyFont="1" applyBorder="1" applyAlignment="1">
      <alignment horizontal="center" vertical="top" wrapText="1" readingOrder="1"/>
    </xf>
    <xf numFmtId="49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top" wrapText="1" readingOrder="1"/>
    </xf>
    <xf numFmtId="49" fontId="1" fillId="4" borderId="3" xfId="0" applyNumberFormat="1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4" fillId="0" borderId="0" xfId="0" applyFont="1"/>
    <xf numFmtId="0" fontId="0" fillId="5" borderId="0" xfId="0" applyFill="1"/>
    <xf numFmtId="0" fontId="0" fillId="0" borderId="2" xfId="0" applyBorder="1"/>
    <xf numFmtId="0" fontId="0" fillId="0" borderId="4" xfId="0" applyBorder="1"/>
    <xf numFmtId="49" fontId="10" fillId="0" borderId="2" xfId="0" applyNumberFormat="1" applyFont="1" applyBorder="1" applyAlignment="1">
      <alignment horizontal="center" vertical="top" wrapText="1" readingOrder="1"/>
    </xf>
    <xf numFmtId="49" fontId="10" fillId="6" borderId="2" xfId="0" applyNumberFormat="1" applyFont="1" applyFill="1" applyBorder="1" applyAlignment="1">
      <alignment horizontal="center" vertical="top" wrapText="1" readingOrder="1"/>
    </xf>
    <xf numFmtId="0" fontId="9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7" borderId="2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13" fillId="0" borderId="0" xfId="4"/>
    <xf numFmtId="164" fontId="9" fillId="0" borderId="2" xfId="3" applyNumberFormat="1" applyFont="1" applyBorder="1" applyAlignment="1">
      <alignment wrapText="1"/>
    </xf>
    <xf numFmtId="0" fontId="15" fillId="0" borderId="0" xfId="0" applyFont="1"/>
    <xf numFmtId="0" fontId="20" fillId="0" borderId="0" xfId="0" applyFont="1"/>
    <xf numFmtId="0" fontId="0" fillId="0" borderId="0" xfId="0" pivotButton="1"/>
    <xf numFmtId="0" fontId="9" fillId="6" borderId="2" xfId="0" applyFont="1" applyFill="1" applyBorder="1" applyAlignment="1">
      <alignment wrapText="1"/>
    </xf>
    <xf numFmtId="0" fontId="9" fillId="6" borderId="0" xfId="0" applyFont="1" applyFill="1" applyAlignment="1">
      <alignment wrapText="1"/>
    </xf>
    <xf numFmtId="164" fontId="9" fillId="6" borderId="2" xfId="3" applyNumberFormat="1" applyFont="1" applyFill="1" applyBorder="1" applyAlignment="1">
      <alignment wrapText="1"/>
    </xf>
    <xf numFmtId="0" fontId="0" fillId="0" borderId="0" xfId="0" applyAlignment="1">
      <alignment horizontal="left" indent="1"/>
    </xf>
    <xf numFmtId="0" fontId="1" fillId="10" borderId="2" xfId="0" applyFont="1" applyFill="1" applyBorder="1" applyAlignment="1">
      <alignment horizontal="center" vertical="center" wrapText="1" readingOrder="1"/>
    </xf>
    <xf numFmtId="0" fontId="8" fillId="11" borderId="2" xfId="5" applyFill="1" applyBorder="1"/>
    <xf numFmtId="0" fontId="8" fillId="12" borderId="2" xfId="5" applyFill="1" applyBorder="1"/>
    <xf numFmtId="0" fontId="0" fillId="12" borderId="2" xfId="0" applyFill="1" applyBorder="1" applyAlignment="1">
      <alignment vertical="center" wrapText="1"/>
    </xf>
    <xf numFmtId="0" fontId="8" fillId="12" borderId="0" xfId="5" applyFill="1"/>
    <xf numFmtId="0" fontId="0" fillId="11" borderId="2" xfId="0" applyFill="1" applyBorder="1" applyAlignment="1">
      <alignment vertical="center" wrapText="1"/>
    </xf>
    <xf numFmtId="0" fontId="21" fillId="11" borderId="2" xfId="0" applyFont="1" applyFill="1" applyBorder="1"/>
    <xf numFmtId="0" fontId="8" fillId="11" borderId="0" xfId="5" applyFill="1"/>
    <xf numFmtId="0" fontId="8" fillId="12" borderId="6" xfId="5" applyFill="1" applyBorder="1"/>
    <xf numFmtId="0" fontId="0" fillId="1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/>
    <xf numFmtId="0" fontId="3" fillId="5" borderId="0" xfId="1" applyFill="1"/>
    <xf numFmtId="0" fontId="3" fillId="0" borderId="0" xfId="7"/>
    <xf numFmtId="0" fontId="3" fillId="5" borderId="0" xfId="7" applyFill="1"/>
    <xf numFmtId="0" fontId="1" fillId="4" borderId="2" xfId="0" applyFont="1" applyFill="1" applyBorder="1" applyAlignment="1">
      <alignment horizontal="left" vertical="center" wrapText="1" readingOrder="1"/>
    </xf>
    <xf numFmtId="0" fontId="23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wrapText="1"/>
    </xf>
    <xf numFmtId="9" fontId="26" fillId="0" borderId="11" xfId="0" applyNumberFormat="1" applyFont="1" applyBorder="1" applyAlignment="1">
      <alignment vertical="top" wrapText="1"/>
    </xf>
    <xf numFmtId="0" fontId="25" fillId="0" borderId="0" xfId="0" applyFont="1" applyAlignment="1">
      <alignment vertical="center" wrapText="1"/>
    </xf>
    <xf numFmtId="9" fontId="27" fillId="15" borderId="4" xfId="0" applyNumberFormat="1" applyFont="1" applyFill="1" applyBorder="1" applyAlignment="1">
      <alignment vertical="top" wrapText="1"/>
    </xf>
    <xf numFmtId="0" fontId="25" fillId="6" borderId="0" xfId="0" applyFont="1" applyFill="1" applyAlignment="1">
      <alignment vertical="center" wrapText="1"/>
    </xf>
    <xf numFmtId="0" fontId="28" fillId="13" borderId="8" xfId="0" applyFont="1" applyFill="1" applyBorder="1" applyAlignment="1">
      <alignment wrapText="1"/>
    </xf>
    <xf numFmtId="49" fontId="25" fillId="0" borderId="0" xfId="0" applyNumberFormat="1" applyFont="1" applyAlignment="1">
      <alignment vertical="center" wrapText="1"/>
    </xf>
    <xf numFmtId="0" fontId="29" fillId="2" borderId="2" xfId="0" applyFont="1" applyFill="1" applyBorder="1" applyAlignment="1">
      <alignment wrapText="1" readingOrder="1"/>
    </xf>
    <xf numFmtId="0" fontId="29" fillId="2" borderId="7" xfId="0" applyFont="1" applyFill="1" applyBorder="1" applyAlignment="1">
      <alignment wrapText="1" readingOrder="1"/>
    </xf>
    <xf numFmtId="49" fontId="29" fillId="2" borderId="7" xfId="0" applyNumberFormat="1" applyFont="1" applyFill="1" applyBorder="1" applyAlignment="1">
      <alignment wrapText="1" readingOrder="1"/>
    </xf>
    <xf numFmtId="0" fontId="29" fillId="14" borderId="7" xfId="0" applyFont="1" applyFill="1" applyBorder="1" applyAlignment="1">
      <alignment wrapText="1" readingOrder="1"/>
    </xf>
    <xf numFmtId="0" fontId="29" fillId="14" borderId="2" xfId="0" applyFont="1" applyFill="1" applyBorder="1" applyAlignment="1">
      <alignment wrapText="1" readingOrder="1"/>
    </xf>
    <xf numFmtId="0" fontId="10" fillId="0" borderId="9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49" fontId="10" fillId="0" borderId="10" xfId="0" applyNumberFormat="1" applyFont="1" applyBorder="1" applyAlignment="1">
      <alignment wrapText="1" readingOrder="1"/>
    </xf>
    <xf numFmtId="0" fontId="9" fillId="0" borderId="10" xfId="0" applyFont="1" applyBorder="1" applyAlignment="1">
      <alignment wrapText="1"/>
    </xf>
    <xf numFmtId="0" fontId="10" fillId="0" borderId="7" xfId="0" applyFont="1" applyBorder="1" applyAlignment="1">
      <alignment horizontal="right" vertical="top" wrapText="1"/>
    </xf>
    <xf numFmtId="0" fontId="10" fillId="0" borderId="10" xfId="0" applyFont="1" applyBorder="1" applyAlignment="1">
      <alignment horizontal="right" vertical="top" wrapText="1"/>
    </xf>
    <xf numFmtId="9" fontId="10" fillId="0" borderId="12" xfId="0" applyNumberFormat="1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10" fillId="16" borderId="10" xfId="0" applyFont="1" applyFill="1" applyBorder="1" applyAlignment="1">
      <alignment wrapText="1"/>
    </xf>
    <xf numFmtId="49" fontId="10" fillId="16" borderId="10" xfId="0" applyNumberFormat="1" applyFont="1" applyFill="1" applyBorder="1" applyAlignment="1">
      <alignment wrapText="1" readingOrder="1"/>
    </xf>
    <xf numFmtId="0" fontId="10" fillId="17" borderId="10" xfId="0" applyFont="1" applyFill="1" applyBorder="1" applyAlignment="1">
      <alignment wrapText="1"/>
    </xf>
    <xf numFmtId="0" fontId="10" fillId="0" borderId="0" xfId="0" applyFont="1"/>
    <xf numFmtId="0" fontId="10" fillId="0" borderId="2" xfId="0" applyFont="1" applyBorder="1" applyAlignment="1">
      <alignment wrapText="1"/>
    </xf>
    <xf numFmtId="9" fontId="10" fillId="0" borderId="2" xfId="0" applyNumberFormat="1" applyFont="1" applyBorder="1" applyAlignment="1">
      <alignment vertical="top" wrapText="1"/>
    </xf>
    <xf numFmtId="0" fontId="10" fillId="18" borderId="10" xfId="0" applyFont="1" applyFill="1" applyBorder="1" applyAlignment="1">
      <alignment wrapText="1"/>
    </xf>
    <xf numFmtId="0" fontId="10" fillId="18" borderId="9" xfId="0" applyFont="1" applyFill="1" applyBorder="1" applyAlignment="1">
      <alignment wrapText="1"/>
    </xf>
    <xf numFmtId="49" fontId="10" fillId="18" borderId="10" xfId="0" applyNumberFormat="1" applyFont="1" applyFill="1" applyBorder="1" applyAlignment="1">
      <alignment wrapText="1" readingOrder="1"/>
    </xf>
    <xf numFmtId="0" fontId="10" fillId="18" borderId="10" xfId="0" applyFont="1" applyFill="1" applyBorder="1" applyAlignment="1">
      <alignment horizontal="right" vertical="top" wrapText="1"/>
    </xf>
    <xf numFmtId="9" fontId="10" fillId="18" borderId="12" xfId="0" applyNumberFormat="1" applyFont="1" applyFill="1" applyBorder="1" applyAlignment="1">
      <alignment vertical="top" wrapText="1"/>
    </xf>
    <xf numFmtId="0" fontId="25" fillId="18" borderId="0" xfId="0" applyFont="1" applyFill="1" applyAlignment="1">
      <alignment vertical="center" wrapText="1"/>
    </xf>
    <xf numFmtId="0" fontId="11" fillId="9" borderId="0" xfId="0" applyFont="1" applyFill="1" applyAlignment="1">
      <alignment horizontal="center"/>
    </xf>
    <xf numFmtId="0" fontId="14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</cellXfs>
  <cellStyles count="9">
    <cellStyle name="Hyperlink" xfId="4" builtinId="8"/>
    <cellStyle name="Normal" xfId="0" builtinId="0"/>
    <cellStyle name="Normal 2" xfId="1" xr:uid="{584EA1CB-0914-4D07-8C84-23BBD9ACB611}"/>
    <cellStyle name="Normal 2 2" xfId="5" xr:uid="{36DB9AF8-EAC9-43DB-AD4B-E31796F3774C}"/>
    <cellStyle name="Normal 2 3" xfId="8" xr:uid="{B4AC283E-E119-40EB-A54E-2244ED1CC810}"/>
    <cellStyle name="Normal 3" xfId="2" xr:uid="{EF5BC576-3F2A-41FD-92D5-6AEF48647A35}"/>
    <cellStyle name="Normal 3 2" xfId="6" xr:uid="{93010546-E90A-481A-BD30-26D17278915A}"/>
    <cellStyle name="Normal 5" xfId="7" xr:uid="{C40D190A-508F-4E5C-B1B4-C8322563F461}"/>
    <cellStyle name="Percent" xfId="3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cef.sharepoint.com/teams/DRP-SPCA/SPCA4/Helpful%20Resources/UNSD%20&#8212;%20Countries.xlsx" TargetMode="External"/><Relationship Id="rId1" Type="http://schemas.openxmlformats.org/officeDocument/2006/relationships/externalLinkPath" Target="/teams/DRP-SPCA/SPCA4/Country%20Classifications/UNSD%20&#8212;%20Countri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cef.sharepoint.com/teams/DRP-SPCA/SPCA4/Country%20Classifications/Sources/2024%20HAC%20Contries%20classification.xlsx" TargetMode="External"/><Relationship Id="rId1" Type="http://schemas.openxmlformats.org/officeDocument/2006/relationships/externalLinkPath" Target="/teams/DRP-SPCA/SPCA4/Country%20Classifications/Sources/2024%20HAC%20Contries%20classif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kj985_mM02R_fZ8kndDORUc9WFKL35Pu_wWRT_liDFz17PSSOH6Sb-e1X-NOcJM" itemId="01UTSGE5AGWHU7FUDIBNB2JNA55UVAD4PJ">
      <xxl21:absoluteUrl r:id="rId2"/>
    </xxl21:alternateUrls>
    <sheetNames>
      <sheetName val="Sheet1"/>
    </sheetNames>
    <sheetDataSet>
      <sheetData sheetId="0" refreshError="1">
        <row r="2">
          <cell r="A2" t="str">
            <v>Afghanistan</v>
          </cell>
          <cell r="B2" t="str">
            <v>Asia</v>
          </cell>
          <cell r="C2" t="str">
            <v>Southern Asia</v>
          </cell>
          <cell r="E2" t="str">
            <v>x</v>
          </cell>
          <cell r="F2" t="str">
            <v>x</v>
          </cell>
        </row>
        <row r="3">
          <cell r="A3" t="str">
            <v>Åland Islands</v>
          </cell>
          <cell r="B3" t="str">
            <v>Europe</v>
          </cell>
          <cell r="C3" t="str">
            <v>Northern Europe</v>
          </cell>
        </row>
        <row r="4">
          <cell r="A4" t="str">
            <v>Albania</v>
          </cell>
          <cell r="B4" t="str">
            <v>Europe</v>
          </cell>
          <cell r="C4" t="str">
            <v>Southern Europe</v>
          </cell>
        </row>
        <row r="5">
          <cell r="A5" t="str">
            <v>Algeria</v>
          </cell>
          <cell r="B5" t="str">
            <v>Africa</v>
          </cell>
          <cell r="C5" t="str">
            <v>Northern Africa</v>
          </cell>
        </row>
        <row r="6">
          <cell r="A6" t="str">
            <v>American Samoa</v>
          </cell>
          <cell r="B6" t="str">
            <v>Oceania</v>
          </cell>
          <cell r="C6" t="str">
            <v>Polynesia</v>
          </cell>
          <cell r="G6" t="str">
            <v>x</v>
          </cell>
        </row>
        <row r="7">
          <cell r="A7" t="str">
            <v>Andorra</v>
          </cell>
          <cell r="B7" t="str">
            <v>Europe</v>
          </cell>
          <cell r="C7" t="str">
            <v>Southern Europe</v>
          </cell>
        </row>
        <row r="8">
          <cell r="A8" t="str">
            <v>Angola</v>
          </cell>
          <cell r="B8" t="str">
            <v>Africa</v>
          </cell>
          <cell r="C8" t="str">
            <v>Sub-Saharan Africa</v>
          </cell>
          <cell r="D8" t="str">
            <v>Middle Africa</v>
          </cell>
          <cell r="E8" t="str">
            <v>x</v>
          </cell>
        </row>
        <row r="9">
          <cell r="A9" t="str">
            <v>Anguilla</v>
          </cell>
          <cell r="B9" t="str">
            <v>Americas</v>
          </cell>
          <cell r="C9" t="str">
            <v>Latin America and the Caribbean</v>
          </cell>
          <cell r="D9" t="str">
            <v>Caribbean</v>
          </cell>
          <cell r="G9" t="str">
            <v>x</v>
          </cell>
        </row>
        <row r="10">
          <cell r="A10" t="str">
            <v>Antarctica</v>
          </cell>
        </row>
        <row r="11">
          <cell r="A11" t="str">
            <v>Antigua and Barbuda</v>
          </cell>
          <cell r="B11" t="str">
            <v>Americas</v>
          </cell>
          <cell r="C11" t="str">
            <v>Latin America and the Caribbean</v>
          </cell>
          <cell r="D11" t="str">
            <v>Caribbean</v>
          </cell>
          <cell r="G11" t="str">
            <v>x</v>
          </cell>
        </row>
        <row r="12">
          <cell r="A12" t="str">
            <v>Argentina</v>
          </cell>
          <cell r="B12" t="str">
            <v>Americas</v>
          </cell>
          <cell r="C12" t="str">
            <v>Latin America and the Caribbean</v>
          </cell>
          <cell r="D12" t="str">
            <v>South America</v>
          </cell>
        </row>
        <row r="13">
          <cell r="A13" t="str">
            <v>Armenia</v>
          </cell>
          <cell r="B13" t="str">
            <v>Asia</v>
          </cell>
          <cell r="C13" t="str">
            <v>Western Asia</v>
          </cell>
          <cell r="F13" t="str">
            <v>x</v>
          </cell>
        </row>
        <row r="14">
          <cell r="A14" t="str">
            <v>Aruba</v>
          </cell>
          <cell r="B14" t="str">
            <v>Americas</v>
          </cell>
          <cell r="C14" t="str">
            <v>Latin America and the Caribbean</v>
          </cell>
          <cell r="D14" t="str">
            <v>Caribbean</v>
          </cell>
          <cell r="G14" t="str">
            <v>x</v>
          </cell>
        </row>
        <row r="15">
          <cell r="A15" t="str">
            <v>Australia</v>
          </cell>
          <cell r="B15" t="str">
            <v>Oceania</v>
          </cell>
          <cell r="C15" t="str">
            <v>Australia and New Zealand</v>
          </cell>
        </row>
        <row r="16">
          <cell r="A16" t="str">
            <v>Austria</v>
          </cell>
          <cell r="B16" t="str">
            <v>Europe</v>
          </cell>
          <cell r="C16" t="str">
            <v>Western Europe</v>
          </cell>
        </row>
        <row r="17">
          <cell r="A17" t="str">
            <v>Azerbaijan</v>
          </cell>
          <cell r="B17" t="str">
            <v>Asia</v>
          </cell>
          <cell r="C17" t="str">
            <v>Western Asia</v>
          </cell>
          <cell r="F17" t="str">
            <v>x</v>
          </cell>
        </row>
        <row r="18">
          <cell r="A18" t="str">
            <v>Bahamas</v>
          </cell>
          <cell r="B18" t="str">
            <v>Americas</v>
          </cell>
          <cell r="C18" t="str">
            <v>Latin America and the Caribbean</v>
          </cell>
          <cell r="D18" t="str">
            <v>Caribbean</v>
          </cell>
          <cell r="G18" t="str">
            <v>x</v>
          </cell>
        </row>
        <row r="19">
          <cell r="A19" t="str">
            <v>Bahrain</v>
          </cell>
          <cell r="B19" t="str">
            <v>Asia</v>
          </cell>
          <cell r="C19" t="str">
            <v>Western Asia</v>
          </cell>
        </row>
        <row r="20">
          <cell r="A20" t="str">
            <v>Bangladesh</v>
          </cell>
          <cell r="B20" t="str">
            <v>Asia</v>
          </cell>
          <cell r="C20" t="str">
            <v>Southern Asia</v>
          </cell>
          <cell r="E20" t="str">
            <v>x</v>
          </cell>
        </row>
        <row r="21">
          <cell r="A21" t="str">
            <v>Barbados</v>
          </cell>
          <cell r="B21" t="str">
            <v>Americas</v>
          </cell>
          <cell r="C21" t="str">
            <v>Latin America and the Caribbean</v>
          </cell>
          <cell r="D21" t="str">
            <v>Caribbean</v>
          </cell>
          <cell r="G21" t="str">
            <v>x</v>
          </cell>
        </row>
        <row r="22">
          <cell r="A22" t="str">
            <v>Belarus</v>
          </cell>
          <cell r="B22" t="str">
            <v>Europe</v>
          </cell>
          <cell r="C22" t="str">
            <v>Eastern Europe</v>
          </cell>
        </row>
        <row r="23">
          <cell r="A23" t="str">
            <v>Belgium</v>
          </cell>
          <cell r="B23" t="str">
            <v>Europe</v>
          </cell>
          <cell r="C23" t="str">
            <v>Western Europe</v>
          </cell>
        </row>
        <row r="24">
          <cell r="A24" t="str">
            <v>Belize</v>
          </cell>
          <cell r="B24" t="str">
            <v>Americas</v>
          </cell>
          <cell r="C24" t="str">
            <v>Latin America and the Caribbean</v>
          </cell>
          <cell r="D24" t="str">
            <v>Central America</v>
          </cell>
          <cell r="G24" t="str">
            <v>x</v>
          </cell>
        </row>
        <row r="25">
          <cell r="A25" t="str">
            <v>Benin</v>
          </cell>
          <cell r="B25" t="str">
            <v>Africa</v>
          </cell>
          <cell r="C25" t="str">
            <v>Sub-Saharan Africa</v>
          </cell>
          <cell r="D25" t="str">
            <v>Western Africa</v>
          </cell>
          <cell r="E25" t="str">
            <v>x</v>
          </cell>
        </row>
        <row r="26">
          <cell r="A26" t="str">
            <v>Bermuda</v>
          </cell>
          <cell r="B26" t="str">
            <v>Americas</v>
          </cell>
          <cell r="C26" t="str">
            <v>Northern America</v>
          </cell>
        </row>
        <row r="27">
          <cell r="A27" t="str">
            <v>Bhutan</v>
          </cell>
          <cell r="B27" t="str">
            <v>Asia</v>
          </cell>
          <cell r="C27" t="str">
            <v>Southern Asia</v>
          </cell>
          <cell r="F27" t="str">
            <v>x</v>
          </cell>
        </row>
        <row r="28">
          <cell r="A28" t="str">
            <v>Bolivia</v>
          </cell>
          <cell r="B28" t="str">
            <v>Americas</v>
          </cell>
          <cell r="C28" t="str">
            <v>Latin America and the Caribbean</v>
          </cell>
          <cell r="D28" t="str">
            <v>South America</v>
          </cell>
          <cell r="F28" t="str">
            <v>x</v>
          </cell>
        </row>
        <row r="29">
          <cell r="A29" t="str">
            <v>Bonaire, Sint Eustatius and Saba</v>
          </cell>
          <cell r="B29" t="str">
            <v>Americas</v>
          </cell>
          <cell r="C29" t="str">
            <v>Latin America and the Caribbean</v>
          </cell>
          <cell r="D29" t="str">
            <v>Caribbean</v>
          </cell>
          <cell r="G29" t="str">
            <v>x</v>
          </cell>
        </row>
        <row r="30">
          <cell r="A30" t="str">
            <v>Bosnia and Herzegovina</v>
          </cell>
          <cell r="B30" t="str">
            <v>Europe</v>
          </cell>
          <cell r="C30" t="str">
            <v>Southern Europe</v>
          </cell>
        </row>
        <row r="31">
          <cell r="A31" t="str">
            <v>Botswana</v>
          </cell>
          <cell r="B31" t="str">
            <v>Africa</v>
          </cell>
          <cell r="C31" t="str">
            <v>Sub-Saharan Africa</v>
          </cell>
          <cell r="D31" t="str">
            <v>Southern Africa</v>
          </cell>
          <cell r="F31" t="str">
            <v>x</v>
          </cell>
        </row>
        <row r="32">
          <cell r="A32" t="str">
            <v>Bouvet Island</v>
          </cell>
          <cell r="B32" t="str">
            <v>Americas</v>
          </cell>
          <cell r="C32" t="str">
            <v>Latin America and the Caribbean</v>
          </cell>
          <cell r="D32" t="str">
            <v>South America</v>
          </cell>
        </row>
        <row r="33">
          <cell r="A33" t="str">
            <v>Brazil</v>
          </cell>
          <cell r="B33" t="str">
            <v>Americas</v>
          </cell>
          <cell r="C33" t="str">
            <v>Latin America and the Caribbean</v>
          </cell>
          <cell r="D33" t="str">
            <v>South America</v>
          </cell>
        </row>
        <row r="34">
          <cell r="A34" t="str">
            <v>British Indian Ocean Territory</v>
          </cell>
          <cell r="B34" t="str">
            <v>Africa</v>
          </cell>
          <cell r="C34" t="str">
            <v>Sub-Saharan Africa</v>
          </cell>
          <cell r="D34" t="str">
            <v>Eastern Africa</v>
          </cell>
        </row>
        <row r="35">
          <cell r="A35" t="str">
            <v>British Virgin Islands</v>
          </cell>
          <cell r="B35" t="str">
            <v>Americas</v>
          </cell>
          <cell r="C35" t="str">
            <v>Latin America and the Caribbean</v>
          </cell>
          <cell r="D35" t="str">
            <v>Caribbean</v>
          </cell>
          <cell r="G35" t="str">
            <v>x</v>
          </cell>
        </row>
        <row r="36">
          <cell r="A36" t="str">
            <v>Brunei Darussalam</v>
          </cell>
          <cell r="B36" t="str">
            <v>Asia</v>
          </cell>
          <cell r="C36" t="str">
            <v>South-eastern Asia</v>
          </cell>
        </row>
        <row r="37">
          <cell r="A37" t="str">
            <v>Bulgaria</v>
          </cell>
          <cell r="B37" t="str">
            <v>Europe</v>
          </cell>
          <cell r="C37" t="str">
            <v>Eastern Europe</v>
          </cell>
        </row>
        <row r="38">
          <cell r="A38" t="str">
            <v>Burkina Faso</v>
          </cell>
          <cell r="B38" t="str">
            <v>Africa</v>
          </cell>
          <cell r="C38" t="str">
            <v>Sub-Saharan Africa</v>
          </cell>
          <cell r="D38" t="str">
            <v>Western Africa</v>
          </cell>
          <cell r="E38" t="str">
            <v>x</v>
          </cell>
          <cell r="F38" t="str">
            <v>x</v>
          </cell>
        </row>
        <row r="39">
          <cell r="A39" t="str">
            <v>Burundi</v>
          </cell>
          <cell r="B39" t="str">
            <v>Africa</v>
          </cell>
          <cell r="C39" t="str">
            <v>Sub-Saharan Africa</v>
          </cell>
          <cell r="D39" t="str">
            <v>Eastern Africa</v>
          </cell>
          <cell r="E39" t="str">
            <v>x</v>
          </cell>
          <cell r="F39" t="str">
            <v>x</v>
          </cell>
        </row>
        <row r="40">
          <cell r="A40" t="str">
            <v>Cabo Verde</v>
          </cell>
          <cell r="B40" t="str">
            <v>Africa</v>
          </cell>
          <cell r="C40" t="str">
            <v>Sub-Saharan Africa</v>
          </cell>
          <cell r="D40" t="str">
            <v>Western Africa</v>
          </cell>
          <cell r="G40" t="str">
            <v>x</v>
          </cell>
        </row>
        <row r="41">
          <cell r="A41" t="str">
            <v>Cambodia</v>
          </cell>
          <cell r="B41" t="str">
            <v>Asia</v>
          </cell>
          <cell r="C41" t="str">
            <v>South-eastern Asia</v>
          </cell>
          <cell r="E41" t="str">
            <v>x</v>
          </cell>
        </row>
        <row r="42">
          <cell r="A42" t="str">
            <v>Republic of Cameroon</v>
          </cell>
          <cell r="B42" t="str">
            <v>Africa</v>
          </cell>
          <cell r="C42" t="str">
            <v>Sub-Saharan Africa</v>
          </cell>
          <cell r="D42" t="str">
            <v>Middle Africa</v>
          </cell>
        </row>
        <row r="43">
          <cell r="A43" t="str">
            <v>Canada</v>
          </cell>
          <cell r="B43" t="str">
            <v>Americas</v>
          </cell>
          <cell r="C43" t="str">
            <v>Northern America</v>
          </cell>
        </row>
        <row r="44">
          <cell r="A44" t="str">
            <v>Cayman Islands</v>
          </cell>
          <cell r="B44" t="str">
            <v>Americas</v>
          </cell>
          <cell r="C44" t="str">
            <v>Latin America and the Caribbean</v>
          </cell>
          <cell r="D44" t="str">
            <v>Caribbean</v>
          </cell>
        </row>
        <row r="45">
          <cell r="A45" t="str">
            <v>Central African Republic</v>
          </cell>
          <cell r="B45" t="str">
            <v>Africa</v>
          </cell>
          <cell r="C45" t="str">
            <v>Sub-Saharan Africa</v>
          </cell>
          <cell r="D45" t="str">
            <v>Middle Africa</v>
          </cell>
          <cell r="E45" t="str">
            <v>x</v>
          </cell>
          <cell r="F45" t="str">
            <v>x</v>
          </cell>
        </row>
        <row r="46">
          <cell r="A46" t="str">
            <v>Chad</v>
          </cell>
          <cell r="B46" t="str">
            <v>Africa</v>
          </cell>
          <cell r="C46" t="str">
            <v>Sub-Saharan Africa</v>
          </cell>
          <cell r="D46" t="str">
            <v>Middle Africa</v>
          </cell>
          <cell r="E46" t="str">
            <v>x</v>
          </cell>
          <cell r="F46" t="str">
            <v>x</v>
          </cell>
        </row>
        <row r="47">
          <cell r="A47" t="str">
            <v>Chile</v>
          </cell>
          <cell r="B47" t="str">
            <v>Americas</v>
          </cell>
          <cell r="C47" t="str">
            <v>Latin America and the Caribbean</v>
          </cell>
          <cell r="D47" t="str">
            <v>South America</v>
          </cell>
        </row>
        <row r="48">
          <cell r="A48" t="str">
            <v>China</v>
          </cell>
          <cell r="B48" t="str">
            <v>Asia</v>
          </cell>
          <cell r="C48" t="str">
            <v>Eastern Asia</v>
          </cell>
        </row>
        <row r="49">
          <cell r="A49" t="str">
            <v>China, Hong Kong Special Administrative Region</v>
          </cell>
          <cell r="B49" t="str">
            <v>Asia</v>
          </cell>
          <cell r="C49" t="str">
            <v>Eastern Asia</v>
          </cell>
        </row>
        <row r="50">
          <cell r="A50" t="str">
            <v>China, Macao Special Administrative Region</v>
          </cell>
          <cell r="B50" t="str">
            <v>Asia</v>
          </cell>
          <cell r="C50" t="str">
            <v>Eastern Asia</v>
          </cell>
        </row>
        <row r="51">
          <cell r="A51" t="str">
            <v>Christmas Island</v>
          </cell>
          <cell r="B51" t="str">
            <v>Oceania</v>
          </cell>
          <cell r="C51" t="str">
            <v>Australia and New Zealand</v>
          </cell>
        </row>
        <row r="52">
          <cell r="A52" t="str">
            <v>Cocos (Keeling) Islands</v>
          </cell>
          <cell r="B52" t="str">
            <v>Oceania</v>
          </cell>
          <cell r="C52" t="str">
            <v>Australia and New Zealand</v>
          </cell>
        </row>
        <row r="53">
          <cell r="A53" t="str">
            <v>Colombia</v>
          </cell>
          <cell r="B53" t="str">
            <v>Americas</v>
          </cell>
          <cell r="C53" t="str">
            <v>Latin America and the Caribbean</v>
          </cell>
          <cell r="D53" t="str">
            <v>South America</v>
          </cell>
        </row>
        <row r="54">
          <cell r="A54" t="str">
            <v>Comoros</v>
          </cell>
          <cell r="B54" t="str">
            <v>Africa</v>
          </cell>
          <cell r="C54" t="str">
            <v>Sub-Saharan Africa</v>
          </cell>
          <cell r="D54" t="str">
            <v>Eastern Africa</v>
          </cell>
          <cell r="E54" t="str">
            <v>x</v>
          </cell>
          <cell r="G54" t="str">
            <v>x</v>
          </cell>
        </row>
        <row r="55">
          <cell r="A55" t="str">
            <v>Congo</v>
          </cell>
          <cell r="B55" t="str">
            <v>Africa</v>
          </cell>
          <cell r="C55" t="str">
            <v>Sub-Saharan Africa</v>
          </cell>
          <cell r="D55" t="str">
            <v>Middle Africa</v>
          </cell>
        </row>
        <row r="56">
          <cell r="A56" t="str">
            <v>Cook Islands</v>
          </cell>
          <cell r="B56" t="str">
            <v>Oceania</v>
          </cell>
          <cell r="C56" t="str">
            <v>Polynesia</v>
          </cell>
          <cell r="G56" t="str">
            <v>x</v>
          </cell>
        </row>
        <row r="57">
          <cell r="A57" t="str">
            <v>Costa Rica</v>
          </cell>
          <cell r="B57" t="str">
            <v>Americas</v>
          </cell>
          <cell r="C57" t="str">
            <v>Latin America and the Caribbean</v>
          </cell>
          <cell r="D57" t="str">
            <v>Central America</v>
          </cell>
        </row>
        <row r="58">
          <cell r="A58" t="str">
            <v>Cote D'Ivoire</v>
          </cell>
          <cell r="B58" t="str">
            <v>Africa</v>
          </cell>
          <cell r="C58" t="str">
            <v>Sub-Saharan Africa</v>
          </cell>
          <cell r="D58" t="str">
            <v>Western Africa</v>
          </cell>
        </row>
        <row r="59">
          <cell r="A59" t="str">
            <v>Croatia</v>
          </cell>
          <cell r="B59" t="str">
            <v>Europe</v>
          </cell>
          <cell r="C59" t="str">
            <v>Southern Europe</v>
          </cell>
        </row>
        <row r="60">
          <cell r="A60" t="str">
            <v>Cuba</v>
          </cell>
          <cell r="B60" t="str">
            <v>Americas</v>
          </cell>
          <cell r="C60" t="str">
            <v>Latin America and the Caribbean</v>
          </cell>
          <cell r="D60" t="str">
            <v>Caribbean</v>
          </cell>
          <cell r="G60" t="str">
            <v>x</v>
          </cell>
        </row>
        <row r="61">
          <cell r="A61" t="str">
            <v>Curaçao</v>
          </cell>
          <cell r="B61" t="str">
            <v>Americas</v>
          </cell>
          <cell r="C61" t="str">
            <v>Latin America and the Caribbean</v>
          </cell>
          <cell r="D61" t="str">
            <v>Caribbean</v>
          </cell>
          <cell r="G61" t="str">
            <v>x</v>
          </cell>
        </row>
        <row r="62">
          <cell r="A62" t="str">
            <v>Cyprus</v>
          </cell>
          <cell r="B62" t="str">
            <v>Asia</v>
          </cell>
          <cell r="C62" t="str">
            <v>Western Asia</v>
          </cell>
        </row>
        <row r="63">
          <cell r="A63" t="str">
            <v>Czechia</v>
          </cell>
          <cell r="B63" t="str">
            <v>Europe</v>
          </cell>
          <cell r="C63" t="str">
            <v>Eastern Europe</v>
          </cell>
        </row>
        <row r="64">
          <cell r="A64" t="str">
            <v>DP Republic of Korea</v>
          </cell>
          <cell r="B64" t="str">
            <v>Asia</v>
          </cell>
          <cell r="C64" t="str">
            <v>Eastern Asia</v>
          </cell>
        </row>
        <row r="65">
          <cell r="A65" t="str">
            <v>Democratic Republic of Congo</v>
          </cell>
          <cell r="B65" t="str">
            <v>Africa</v>
          </cell>
          <cell r="C65" t="str">
            <v>Sub-Saharan Africa</v>
          </cell>
          <cell r="D65" t="str">
            <v>Middle Africa</v>
          </cell>
          <cell r="E65" t="str">
            <v>x</v>
          </cell>
        </row>
        <row r="66">
          <cell r="A66" t="str">
            <v>Denmark</v>
          </cell>
          <cell r="B66" t="str">
            <v>Europe</v>
          </cell>
          <cell r="C66" t="str">
            <v>Northern Europe</v>
          </cell>
        </row>
        <row r="67">
          <cell r="A67" t="str">
            <v>Djibouti</v>
          </cell>
          <cell r="B67" t="str">
            <v>Africa</v>
          </cell>
          <cell r="C67" t="str">
            <v>Sub-Saharan Africa</v>
          </cell>
          <cell r="D67" t="str">
            <v>Eastern Africa</v>
          </cell>
          <cell r="E67" t="str">
            <v>x</v>
          </cell>
        </row>
        <row r="68">
          <cell r="A68" t="str">
            <v>Dominica</v>
          </cell>
          <cell r="B68" t="str">
            <v>Americas</v>
          </cell>
          <cell r="C68" t="str">
            <v>Latin America and the Caribbean</v>
          </cell>
          <cell r="D68" t="str">
            <v>Caribbean</v>
          </cell>
          <cell r="G68" t="str">
            <v>x</v>
          </cell>
        </row>
        <row r="69">
          <cell r="A69" t="str">
            <v>Dominican Republic</v>
          </cell>
          <cell r="B69" t="str">
            <v>Americas</v>
          </cell>
          <cell r="C69" t="str">
            <v>Latin America and the Caribbean</v>
          </cell>
          <cell r="D69" t="str">
            <v>Caribbean</v>
          </cell>
          <cell r="G69" t="str">
            <v>x</v>
          </cell>
        </row>
        <row r="70">
          <cell r="A70" t="str">
            <v>Ecuador</v>
          </cell>
          <cell r="B70" t="str">
            <v>Americas</v>
          </cell>
          <cell r="C70" t="str">
            <v>Latin America and the Caribbean</v>
          </cell>
          <cell r="D70" t="str">
            <v>South America</v>
          </cell>
        </row>
        <row r="71">
          <cell r="A71" t="str">
            <v>Egypt</v>
          </cell>
          <cell r="B71" t="str">
            <v>Africa</v>
          </cell>
          <cell r="C71" t="str">
            <v>Northern Africa</v>
          </cell>
        </row>
        <row r="72">
          <cell r="A72" t="str">
            <v>El Salvador</v>
          </cell>
          <cell r="B72" t="str">
            <v>Americas</v>
          </cell>
          <cell r="C72" t="str">
            <v>Latin America and the Caribbean</v>
          </cell>
          <cell r="D72" t="str">
            <v>Central America</v>
          </cell>
        </row>
        <row r="73">
          <cell r="A73" t="str">
            <v>Equatorial Guinea</v>
          </cell>
          <cell r="B73" t="str">
            <v>Africa</v>
          </cell>
          <cell r="C73" t="str">
            <v>Sub-Saharan Africa</v>
          </cell>
          <cell r="D73" t="str">
            <v>Middle Africa</v>
          </cell>
        </row>
        <row r="74">
          <cell r="A74" t="str">
            <v>Eritrea</v>
          </cell>
          <cell r="B74" t="str">
            <v>Africa</v>
          </cell>
          <cell r="C74" t="str">
            <v>Sub-Saharan Africa</v>
          </cell>
          <cell r="D74" t="str">
            <v>Eastern Africa</v>
          </cell>
          <cell r="E74" t="str">
            <v>x</v>
          </cell>
        </row>
        <row r="75">
          <cell r="A75" t="str">
            <v>Estonia</v>
          </cell>
          <cell r="B75" t="str">
            <v>Europe</v>
          </cell>
          <cell r="C75" t="str">
            <v>Northern Europe</v>
          </cell>
        </row>
        <row r="76">
          <cell r="A76" t="str">
            <v>Eswatini</v>
          </cell>
          <cell r="B76" t="str">
            <v>Africa</v>
          </cell>
          <cell r="C76" t="str">
            <v>Sub-Saharan Africa</v>
          </cell>
          <cell r="D76" t="str">
            <v>Southern Africa</v>
          </cell>
          <cell r="F76" t="str">
            <v>x</v>
          </cell>
        </row>
        <row r="77">
          <cell r="A77" t="str">
            <v>Ethiopia</v>
          </cell>
          <cell r="B77" t="str">
            <v>Africa</v>
          </cell>
          <cell r="C77" t="str">
            <v>Sub-Saharan Africa</v>
          </cell>
          <cell r="D77" t="str">
            <v>Eastern Africa</v>
          </cell>
          <cell r="E77" t="str">
            <v>x</v>
          </cell>
          <cell r="F77" t="str">
            <v>x</v>
          </cell>
        </row>
        <row r="78">
          <cell r="A78" t="str">
            <v>Falkland Islands (Malvinas)</v>
          </cell>
          <cell r="B78" t="str">
            <v>Americas</v>
          </cell>
          <cell r="C78" t="str">
            <v>Latin America and the Caribbean</v>
          </cell>
          <cell r="D78" t="str">
            <v>South America</v>
          </cell>
        </row>
        <row r="79">
          <cell r="A79" t="str">
            <v>Faroe Islands</v>
          </cell>
          <cell r="B79" t="str">
            <v>Europe</v>
          </cell>
          <cell r="C79" t="str">
            <v>Northern Europe</v>
          </cell>
        </row>
        <row r="80">
          <cell r="A80" t="str">
            <v>Fiji</v>
          </cell>
          <cell r="B80" t="str">
            <v>Oceania</v>
          </cell>
          <cell r="C80" t="str">
            <v>Melanesia</v>
          </cell>
          <cell r="G80" t="str">
            <v>x</v>
          </cell>
        </row>
        <row r="81">
          <cell r="A81" t="str">
            <v>Finland</v>
          </cell>
          <cell r="B81" t="str">
            <v>Europe</v>
          </cell>
          <cell r="C81" t="str">
            <v>Northern Europe</v>
          </cell>
        </row>
        <row r="82">
          <cell r="A82" t="str">
            <v>France</v>
          </cell>
          <cell r="B82" t="str">
            <v>Europe</v>
          </cell>
          <cell r="C82" t="str">
            <v>Western Europe</v>
          </cell>
        </row>
        <row r="83">
          <cell r="A83" t="str">
            <v>French Guiana</v>
          </cell>
          <cell r="B83" t="str">
            <v>Americas</v>
          </cell>
          <cell r="C83" t="str">
            <v>Latin America and the Caribbean</v>
          </cell>
          <cell r="D83" t="str">
            <v>South America</v>
          </cell>
        </row>
        <row r="84">
          <cell r="A84" t="str">
            <v>French Polynesia</v>
          </cell>
          <cell r="B84" t="str">
            <v>Oceania</v>
          </cell>
          <cell r="C84" t="str">
            <v>Polynesia</v>
          </cell>
          <cell r="G84" t="str">
            <v>x</v>
          </cell>
        </row>
        <row r="85">
          <cell r="A85" t="str">
            <v>French Southern Territories</v>
          </cell>
          <cell r="B85" t="str">
            <v>Africa</v>
          </cell>
          <cell r="C85" t="str">
            <v>Sub-Saharan Africa</v>
          </cell>
          <cell r="D85" t="str">
            <v>Eastern Africa</v>
          </cell>
        </row>
        <row r="86">
          <cell r="A86" t="str">
            <v>Gabon</v>
          </cell>
          <cell r="B86" t="str">
            <v>Africa</v>
          </cell>
          <cell r="C86" t="str">
            <v>Sub-Saharan Africa</v>
          </cell>
          <cell r="D86" t="str">
            <v>Middle Africa</v>
          </cell>
        </row>
        <row r="87">
          <cell r="A87" t="str">
            <v>Gambia</v>
          </cell>
          <cell r="B87" t="str">
            <v>Africa</v>
          </cell>
          <cell r="C87" t="str">
            <v>Sub-Saharan Africa</v>
          </cell>
          <cell r="D87" t="str">
            <v>Western Africa</v>
          </cell>
          <cell r="E87" t="str">
            <v>x</v>
          </cell>
        </row>
        <row r="88">
          <cell r="A88" t="str">
            <v>Georgia</v>
          </cell>
          <cell r="B88" t="str">
            <v>Asia</v>
          </cell>
          <cell r="C88" t="str">
            <v>Western Asia</v>
          </cell>
        </row>
        <row r="89">
          <cell r="A89" t="str">
            <v>Germany</v>
          </cell>
          <cell r="B89" t="str">
            <v>Europe</v>
          </cell>
          <cell r="C89" t="str">
            <v>Western Europe</v>
          </cell>
        </row>
        <row r="90">
          <cell r="A90" t="str">
            <v>Ghana</v>
          </cell>
          <cell r="B90" t="str">
            <v>Africa</v>
          </cell>
          <cell r="C90" t="str">
            <v>Sub-Saharan Africa</v>
          </cell>
          <cell r="D90" t="str">
            <v>Western Africa</v>
          </cell>
        </row>
        <row r="91">
          <cell r="A91" t="str">
            <v>Gibraltar</v>
          </cell>
          <cell r="B91" t="str">
            <v>Europe</v>
          </cell>
          <cell r="C91" t="str">
            <v>Southern Europe</v>
          </cell>
        </row>
        <row r="92">
          <cell r="A92" t="str">
            <v>Greece</v>
          </cell>
          <cell r="B92" t="str">
            <v>Europe</v>
          </cell>
          <cell r="C92" t="str">
            <v>Southern Europe</v>
          </cell>
        </row>
        <row r="93">
          <cell r="A93" t="str">
            <v>Greenland</v>
          </cell>
          <cell r="B93" t="str">
            <v>Americas</v>
          </cell>
          <cell r="C93" t="str">
            <v>Northern America</v>
          </cell>
        </row>
        <row r="94">
          <cell r="A94" t="str">
            <v>Grenada</v>
          </cell>
          <cell r="B94" t="str">
            <v>Americas</v>
          </cell>
          <cell r="C94" t="str">
            <v>Latin America and the Caribbean</v>
          </cell>
          <cell r="D94" t="str">
            <v>Caribbean</v>
          </cell>
          <cell r="G94" t="str">
            <v>x</v>
          </cell>
        </row>
        <row r="95">
          <cell r="A95" t="str">
            <v>Guadeloupe</v>
          </cell>
          <cell r="B95" t="str">
            <v>Americas</v>
          </cell>
          <cell r="C95" t="str">
            <v>Latin America and the Caribbean</v>
          </cell>
          <cell r="D95" t="str">
            <v>Caribbean</v>
          </cell>
        </row>
        <row r="96">
          <cell r="A96" t="str">
            <v>Guam</v>
          </cell>
          <cell r="B96" t="str">
            <v>Oceania</v>
          </cell>
          <cell r="C96" t="str">
            <v>Micronesia</v>
          </cell>
          <cell r="G96" t="str">
            <v>x</v>
          </cell>
        </row>
        <row r="97">
          <cell r="A97" t="str">
            <v>Guatemala</v>
          </cell>
          <cell r="B97" t="str">
            <v>Americas</v>
          </cell>
          <cell r="C97" t="str">
            <v>Latin America and the Caribbean</v>
          </cell>
          <cell r="D97" t="str">
            <v>Central America</v>
          </cell>
        </row>
        <row r="98">
          <cell r="A98" t="str">
            <v>Guernsey</v>
          </cell>
          <cell r="B98" t="str">
            <v>Europe</v>
          </cell>
          <cell r="C98" t="str">
            <v>Northern Europe</v>
          </cell>
        </row>
        <row r="99">
          <cell r="A99" t="str">
            <v>Guinea</v>
          </cell>
          <cell r="B99" t="str">
            <v>Africa</v>
          </cell>
          <cell r="C99" t="str">
            <v>Sub-Saharan Africa</v>
          </cell>
          <cell r="D99" t="str">
            <v>Western Africa</v>
          </cell>
          <cell r="E99" t="str">
            <v>x</v>
          </cell>
        </row>
        <row r="100">
          <cell r="A100" t="str">
            <v>Guinea Bissau</v>
          </cell>
          <cell r="B100" t="str">
            <v>Africa</v>
          </cell>
          <cell r="C100" t="str">
            <v>Sub-Saharan Africa</v>
          </cell>
          <cell r="D100" t="str">
            <v>Western Africa</v>
          </cell>
          <cell r="E100" t="str">
            <v>x</v>
          </cell>
          <cell r="G100" t="str">
            <v>x</v>
          </cell>
        </row>
        <row r="101">
          <cell r="A101" t="str">
            <v>Guyana</v>
          </cell>
          <cell r="B101" t="str">
            <v>Americas</v>
          </cell>
          <cell r="C101" t="str">
            <v>Latin America and the Caribbean</v>
          </cell>
          <cell r="D101" t="str">
            <v>South America</v>
          </cell>
          <cell r="G101" t="str">
            <v>x</v>
          </cell>
        </row>
        <row r="102">
          <cell r="A102" t="str">
            <v>Haiti</v>
          </cell>
          <cell r="B102" t="str">
            <v>Americas</v>
          </cell>
          <cell r="C102" t="str">
            <v>Latin America and the Caribbean</v>
          </cell>
          <cell r="D102" t="str">
            <v>Caribbean</v>
          </cell>
          <cell r="E102" t="str">
            <v>x</v>
          </cell>
          <cell r="G102" t="str">
            <v>x</v>
          </cell>
        </row>
        <row r="103">
          <cell r="A103" t="str">
            <v>Heard Island and McDonald Islands</v>
          </cell>
          <cell r="B103" t="str">
            <v>Oceania</v>
          </cell>
          <cell r="C103" t="str">
            <v>Australia and New Zealand</v>
          </cell>
        </row>
        <row r="104">
          <cell r="A104" t="str">
            <v>Holy See</v>
          </cell>
          <cell r="B104" t="str">
            <v>Europe</v>
          </cell>
          <cell r="C104" t="str">
            <v>Southern Europe</v>
          </cell>
        </row>
        <row r="105">
          <cell r="A105" t="str">
            <v>Honduras</v>
          </cell>
          <cell r="B105" t="str">
            <v>Americas</v>
          </cell>
          <cell r="C105" t="str">
            <v>Latin America and the Caribbean</v>
          </cell>
          <cell r="D105" t="str">
            <v>Central America</v>
          </cell>
        </row>
        <row r="106">
          <cell r="A106" t="str">
            <v>Hungary</v>
          </cell>
          <cell r="B106" t="str">
            <v>Europe</v>
          </cell>
          <cell r="C106" t="str">
            <v>Eastern Europe</v>
          </cell>
        </row>
        <row r="107">
          <cell r="A107" t="str">
            <v>Iceland</v>
          </cell>
          <cell r="B107" t="str">
            <v>Europe</v>
          </cell>
          <cell r="C107" t="str">
            <v>Northern Europe</v>
          </cell>
        </row>
        <row r="108">
          <cell r="A108" t="str">
            <v>India</v>
          </cell>
          <cell r="B108" t="str">
            <v>Asia</v>
          </cell>
          <cell r="C108" t="str">
            <v>Southern Asia</v>
          </cell>
        </row>
        <row r="109">
          <cell r="A109" t="str">
            <v>Indonesia</v>
          </cell>
          <cell r="B109" t="str">
            <v>Asia</v>
          </cell>
          <cell r="C109" t="str">
            <v>South-eastern Asia</v>
          </cell>
        </row>
        <row r="110">
          <cell r="A110" t="str">
            <v>Iran</v>
          </cell>
          <cell r="B110" t="str">
            <v>Asia</v>
          </cell>
          <cell r="C110" t="str">
            <v>Southern Asia</v>
          </cell>
        </row>
        <row r="111">
          <cell r="A111" t="str">
            <v>Iraq</v>
          </cell>
          <cell r="B111" t="str">
            <v>Asia</v>
          </cell>
          <cell r="C111" t="str">
            <v>Western Asia</v>
          </cell>
        </row>
        <row r="112">
          <cell r="A112" t="str">
            <v>Ireland</v>
          </cell>
          <cell r="B112" t="str">
            <v>Europe</v>
          </cell>
          <cell r="C112" t="str">
            <v>Northern Europe</v>
          </cell>
        </row>
        <row r="113">
          <cell r="A113" t="str">
            <v>Isle of Man</v>
          </cell>
          <cell r="B113" t="str">
            <v>Europe</v>
          </cell>
          <cell r="C113" t="str">
            <v>Northern Europe</v>
          </cell>
        </row>
        <row r="114">
          <cell r="A114" t="str">
            <v>Israel</v>
          </cell>
          <cell r="B114" t="str">
            <v>Asia</v>
          </cell>
          <cell r="C114" t="str">
            <v>Western Asia</v>
          </cell>
        </row>
        <row r="115">
          <cell r="A115" t="str">
            <v>Italy</v>
          </cell>
          <cell r="B115" t="str">
            <v>Europe</v>
          </cell>
          <cell r="C115" t="str">
            <v>Southern Europe</v>
          </cell>
        </row>
        <row r="116">
          <cell r="A116" t="str">
            <v>Jamaica</v>
          </cell>
          <cell r="B116" t="str">
            <v>Americas</v>
          </cell>
          <cell r="C116" t="str">
            <v>Latin America and the Caribbean</v>
          </cell>
          <cell r="D116" t="str">
            <v>Caribbean</v>
          </cell>
          <cell r="G116" t="str">
            <v>x</v>
          </cell>
        </row>
        <row r="117">
          <cell r="A117" t="str">
            <v>Japan</v>
          </cell>
          <cell r="B117" t="str">
            <v>Asia</v>
          </cell>
          <cell r="C117" t="str">
            <v>Eastern Asia</v>
          </cell>
        </row>
        <row r="118">
          <cell r="A118" t="str">
            <v>Jersey</v>
          </cell>
          <cell r="B118" t="str">
            <v>Europe</v>
          </cell>
          <cell r="C118" t="str">
            <v>Northern Europe</v>
          </cell>
        </row>
        <row r="119">
          <cell r="A119" t="str">
            <v>Jordan</v>
          </cell>
          <cell r="B119" t="str">
            <v>Asia</v>
          </cell>
          <cell r="C119" t="str">
            <v>Western Asia</v>
          </cell>
        </row>
        <row r="120">
          <cell r="A120" t="str">
            <v>Kazakhstan</v>
          </cell>
          <cell r="B120" t="str">
            <v>Asia</v>
          </cell>
          <cell r="C120" t="str">
            <v>Central Asia</v>
          </cell>
          <cell r="F120" t="str">
            <v>x</v>
          </cell>
        </row>
        <row r="121">
          <cell r="A121" t="str">
            <v>Kenya</v>
          </cell>
          <cell r="B121" t="str">
            <v>Africa</v>
          </cell>
          <cell r="C121" t="str">
            <v>Sub-Saharan Africa</v>
          </cell>
          <cell r="D121" t="str">
            <v>Eastern Africa</v>
          </cell>
        </row>
        <row r="122">
          <cell r="A122" t="str">
            <v>Kiribati</v>
          </cell>
          <cell r="B122" t="str">
            <v>Oceania</v>
          </cell>
          <cell r="C122" t="str">
            <v>Micronesia</v>
          </cell>
          <cell r="E122" t="str">
            <v>x</v>
          </cell>
          <cell r="G122" t="str">
            <v>x</v>
          </cell>
        </row>
        <row r="123">
          <cell r="A123" t="str">
            <v>Kuwait</v>
          </cell>
          <cell r="B123" t="str">
            <v>Asia</v>
          </cell>
          <cell r="C123" t="str">
            <v>Western Asia</v>
          </cell>
        </row>
        <row r="124">
          <cell r="A124" t="str">
            <v>Republic of Kyrgyzstan</v>
          </cell>
          <cell r="B124" t="str">
            <v>Asia</v>
          </cell>
          <cell r="C124" t="str">
            <v>Central Asia</v>
          </cell>
          <cell r="F124" t="str">
            <v>x</v>
          </cell>
        </row>
        <row r="125">
          <cell r="A125" t="str">
            <v>Lao People's Dem Rep.</v>
          </cell>
          <cell r="B125" t="str">
            <v>Asia</v>
          </cell>
          <cell r="C125" t="str">
            <v>South-eastern Asia</v>
          </cell>
          <cell r="E125" t="str">
            <v>x</v>
          </cell>
          <cell r="F125" t="str">
            <v>x</v>
          </cell>
        </row>
        <row r="126">
          <cell r="A126" t="str">
            <v>Latvia</v>
          </cell>
          <cell r="B126" t="str">
            <v>Europe</v>
          </cell>
          <cell r="C126" t="str">
            <v>Northern Europe</v>
          </cell>
        </row>
        <row r="127">
          <cell r="A127" t="str">
            <v>Lebanon</v>
          </cell>
          <cell r="B127" t="str">
            <v>Asia</v>
          </cell>
          <cell r="C127" t="str">
            <v>Western Asia</v>
          </cell>
        </row>
        <row r="128">
          <cell r="A128" t="str">
            <v>Lesotho</v>
          </cell>
          <cell r="B128" t="str">
            <v>Africa</v>
          </cell>
          <cell r="C128" t="str">
            <v>Sub-Saharan Africa</v>
          </cell>
          <cell r="D128" t="str">
            <v>Southern Africa</v>
          </cell>
          <cell r="E128" t="str">
            <v>x</v>
          </cell>
          <cell r="F128" t="str">
            <v>x</v>
          </cell>
        </row>
        <row r="129">
          <cell r="A129" t="str">
            <v>Liberia</v>
          </cell>
          <cell r="B129" t="str">
            <v>Africa</v>
          </cell>
          <cell r="C129" t="str">
            <v>Sub-Saharan Africa</v>
          </cell>
          <cell r="D129" t="str">
            <v>Western Africa</v>
          </cell>
          <cell r="E129" t="str">
            <v>x</v>
          </cell>
        </row>
        <row r="130">
          <cell r="A130" t="str">
            <v>Libya</v>
          </cell>
          <cell r="B130" t="str">
            <v>Africa</v>
          </cell>
          <cell r="C130" t="str">
            <v>Northern Africa</v>
          </cell>
        </row>
        <row r="131">
          <cell r="A131" t="str">
            <v>Liechtenstein</v>
          </cell>
          <cell r="B131" t="str">
            <v>Europe</v>
          </cell>
          <cell r="C131" t="str">
            <v>Western Europe</v>
          </cell>
        </row>
        <row r="132">
          <cell r="A132" t="str">
            <v>Lithuania</v>
          </cell>
          <cell r="B132" t="str">
            <v>Europe</v>
          </cell>
          <cell r="C132" t="str">
            <v>Northern Europe</v>
          </cell>
        </row>
        <row r="133">
          <cell r="A133" t="str">
            <v>Luxembourg</v>
          </cell>
          <cell r="B133" t="str">
            <v>Europe</v>
          </cell>
          <cell r="C133" t="str">
            <v>Western Europe</v>
          </cell>
        </row>
        <row r="134">
          <cell r="A134" t="str">
            <v>Madagascar</v>
          </cell>
          <cell r="B134" t="str">
            <v>Africa</v>
          </cell>
          <cell r="C134" t="str">
            <v>Sub-Saharan Africa</v>
          </cell>
          <cell r="D134" t="str">
            <v>Eastern Africa</v>
          </cell>
          <cell r="E134" t="str">
            <v>x</v>
          </cell>
        </row>
        <row r="135">
          <cell r="A135" t="str">
            <v>Malawi</v>
          </cell>
          <cell r="B135" t="str">
            <v>Africa</v>
          </cell>
          <cell r="C135" t="str">
            <v>Sub-Saharan Africa</v>
          </cell>
          <cell r="D135" t="str">
            <v>Eastern Africa</v>
          </cell>
          <cell r="E135" t="str">
            <v>x</v>
          </cell>
          <cell r="F135" t="str">
            <v>x</v>
          </cell>
        </row>
        <row r="136">
          <cell r="A136" t="str">
            <v>Malaysia</v>
          </cell>
          <cell r="B136" t="str">
            <v>Asia</v>
          </cell>
          <cell r="C136" t="str">
            <v>South-eastern Asia</v>
          </cell>
        </row>
        <row r="137">
          <cell r="A137" t="str">
            <v>Maldives</v>
          </cell>
          <cell r="B137" t="str">
            <v>Asia</v>
          </cell>
          <cell r="C137" t="str">
            <v>Southern Asia</v>
          </cell>
          <cell r="G137" t="str">
            <v>x</v>
          </cell>
        </row>
        <row r="138">
          <cell r="A138" t="str">
            <v>Mali</v>
          </cell>
          <cell r="B138" t="str">
            <v>Africa</v>
          </cell>
          <cell r="C138" t="str">
            <v>Sub-Saharan Africa</v>
          </cell>
          <cell r="D138" t="str">
            <v>Western Africa</v>
          </cell>
          <cell r="E138" t="str">
            <v>x</v>
          </cell>
          <cell r="F138" t="str">
            <v>x</v>
          </cell>
        </row>
        <row r="139">
          <cell r="A139" t="str">
            <v>Malta</v>
          </cell>
          <cell r="B139" t="str">
            <v>Europe</v>
          </cell>
          <cell r="C139" t="str">
            <v>Southern Europe</v>
          </cell>
        </row>
        <row r="140">
          <cell r="A140" t="str">
            <v>Marshall Islands</v>
          </cell>
          <cell r="B140" t="str">
            <v>Oceania</v>
          </cell>
          <cell r="C140" t="str">
            <v>Micronesia</v>
          </cell>
          <cell r="G140" t="str">
            <v>x</v>
          </cell>
        </row>
        <row r="141">
          <cell r="A141" t="str">
            <v>Martinique</v>
          </cell>
          <cell r="B141" t="str">
            <v>Americas</v>
          </cell>
          <cell r="C141" t="str">
            <v>Latin America and the Caribbean</v>
          </cell>
          <cell r="D141" t="str">
            <v>Caribbean</v>
          </cell>
        </row>
        <row r="142">
          <cell r="A142" t="str">
            <v>Mauritania</v>
          </cell>
          <cell r="B142" t="str">
            <v>Africa</v>
          </cell>
          <cell r="C142" t="str">
            <v>Sub-Saharan Africa</v>
          </cell>
          <cell r="D142" t="str">
            <v>Western Africa</v>
          </cell>
          <cell r="E142" t="str">
            <v>x</v>
          </cell>
        </row>
        <row r="143">
          <cell r="A143" t="str">
            <v>Mauritius</v>
          </cell>
          <cell r="B143" t="str">
            <v>Africa</v>
          </cell>
          <cell r="C143" t="str">
            <v>Sub-Saharan Africa</v>
          </cell>
          <cell r="D143" t="str">
            <v>Eastern Africa</v>
          </cell>
          <cell r="G143" t="str">
            <v>x</v>
          </cell>
        </row>
        <row r="144">
          <cell r="A144" t="str">
            <v>Mayotte</v>
          </cell>
          <cell r="B144" t="str">
            <v>Africa</v>
          </cell>
          <cell r="C144" t="str">
            <v>Sub-Saharan Africa</v>
          </cell>
          <cell r="D144" t="str">
            <v>Eastern Africa</v>
          </cell>
        </row>
        <row r="145">
          <cell r="A145" t="str">
            <v>Mexico</v>
          </cell>
          <cell r="B145" t="str">
            <v>Americas</v>
          </cell>
          <cell r="C145" t="str">
            <v>Latin America and the Caribbean</v>
          </cell>
          <cell r="D145" t="str">
            <v>Central America</v>
          </cell>
        </row>
        <row r="146">
          <cell r="A146" t="str">
            <v>Micronesia</v>
          </cell>
          <cell r="B146" t="str">
            <v>Oceania</v>
          </cell>
          <cell r="C146" t="str">
            <v>Micronesia</v>
          </cell>
          <cell r="G146" t="str">
            <v>x</v>
          </cell>
        </row>
        <row r="147">
          <cell r="A147" t="str">
            <v>Monaco</v>
          </cell>
          <cell r="B147" t="str">
            <v>Europe</v>
          </cell>
          <cell r="C147" t="str">
            <v>Western Europe</v>
          </cell>
        </row>
        <row r="148">
          <cell r="A148" t="str">
            <v>Mongolia</v>
          </cell>
          <cell r="B148" t="str">
            <v>Asia</v>
          </cell>
          <cell r="C148" t="str">
            <v>Eastern Asia</v>
          </cell>
          <cell r="F148" t="str">
            <v>x</v>
          </cell>
        </row>
        <row r="149">
          <cell r="A149" t="str">
            <v>Republic of Montenegro</v>
          </cell>
          <cell r="B149" t="str">
            <v>Europe</v>
          </cell>
          <cell r="C149" t="str">
            <v>Southern Europe</v>
          </cell>
        </row>
        <row r="150">
          <cell r="A150" t="str">
            <v>Montserrat</v>
          </cell>
          <cell r="B150" t="str">
            <v>Americas</v>
          </cell>
          <cell r="C150" t="str">
            <v>Latin America and the Caribbean</v>
          </cell>
          <cell r="D150" t="str">
            <v>Caribbean</v>
          </cell>
          <cell r="G150" t="str">
            <v>x</v>
          </cell>
        </row>
        <row r="151">
          <cell r="A151" t="str">
            <v>Morocco</v>
          </cell>
          <cell r="B151" t="str">
            <v>Africa</v>
          </cell>
          <cell r="C151" t="str">
            <v>Northern Africa</v>
          </cell>
        </row>
        <row r="152">
          <cell r="A152" t="str">
            <v>Republic of Mozambique</v>
          </cell>
          <cell r="B152" t="str">
            <v>Africa</v>
          </cell>
          <cell r="C152" t="str">
            <v>Sub-Saharan Africa</v>
          </cell>
          <cell r="D152" t="str">
            <v>Eastern Africa</v>
          </cell>
          <cell r="E152" t="str">
            <v>x</v>
          </cell>
        </row>
        <row r="153">
          <cell r="A153" t="str">
            <v>Myanmar</v>
          </cell>
          <cell r="B153" t="str">
            <v>Asia</v>
          </cell>
          <cell r="C153" t="str">
            <v>South-eastern Asia</v>
          </cell>
          <cell r="E153" t="str">
            <v>x</v>
          </cell>
        </row>
        <row r="154">
          <cell r="A154" t="str">
            <v>Namibia</v>
          </cell>
          <cell r="B154" t="str">
            <v>Africa</v>
          </cell>
          <cell r="C154" t="str">
            <v>Sub-Saharan Africa</v>
          </cell>
          <cell r="D154" t="str">
            <v>Southern Africa</v>
          </cell>
        </row>
        <row r="155">
          <cell r="A155" t="str">
            <v>Nauru</v>
          </cell>
          <cell r="B155" t="str">
            <v>Oceania</v>
          </cell>
          <cell r="C155" t="str">
            <v>Micronesia</v>
          </cell>
          <cell r="G155" t="str">
            <v>x</v>
          </cell>
        </row>
        <row r="156">
          <cell r="A156" t="str">
            <v>Nepal</v>
          </cell>
          <cell r="B156" t="str">
            <v>Asia</v>
          </cell>
          <cell r="C156" t="str">
            <v>Southern Asia</v>
          </cell>
          <cell r="E156" t="str">
            <v>x</v>
          </cell>
          <cell r="F156" t="str">
            <v>x</v>
          </cell>
        </row>
        <row r="157">
          <cell r="A157" t="str">
            <v>Netherlands (Kingdom of the)</v>
          </cell>
          <cell r="B157" t="str">
            <v>Europe</v>
          </cell>
          <cell r="C157" t="str">
            <v>Western Europe</v>
          </cell>
        </row>
        <row r="158">
          <cell r="A158" t="str">
            <v>New Caledonia</v>
          </cell>
          <cell r="B158" t="str">
            <v>Oceania</v>
          </cell>
          <cell r="C158" t="str">
            <v>Melanesia</v>
          </cell>
          <cell r="G158" t="str">
            <v>x</v>
          </cell>
        </row>
        <row r="159">
          <cell r="A159" t="str">
            <v>New Zealand</v>
          </cell>
          <cell r="B159" t="str">
            <v>Oceania</v>
          </cell>
          <cell r="C159" t="str">
            <v>Australia and New Zealand</v>
          </cell>
        </row>
        <row r="160">
          <cell r="A160" t="str">
            <v>Nicaragua</v>
          </cell>
          <cell r="B160" t="str">
            <v>Americas</v>
          </cell>
          <cell r="C160" t="str">
            <v>Latin America and the Caribbean</v>
          </cell>
          <cell r="D160" t="str">
            <v>Central America</v>
          </cell>
        </row>
        <row r="161">
          <cell r="A161" t="str">
            <v>Niger</v>
          </cell>
          <cell r="B161" t="str">
            <v>Africa</v>
          </cell>
          <cell r="C161" t="str">
            <v>Sub-Saharan Africa</v>
          </cell>
          <cell r="D161" t="str">
            <v>Western Africa</v>
          </cell>
          <cell r="E161" t="str">
            <v>x</v>
          </cell>
          <cell r="F161" t="str">
            <v>x</v>
          </cell>
        </row>
        <row r="162">
          <cell r="A162" t="str">
            <v>Nigeria</v>
          </cell>
          <cell r="B162" t="str">
            <v>Africa</v>
          </cell>
          <cell r="C162" t="str">
            <v>Sub-Saharan Africa</v>
          </cell>
          <cell r="D162" t="str">
            <v>Western Africa</v>
          </cell>
        </row>
        <row r="163">
          <cell r="A163" t="str">
            <v>Niue</v>
          </cell>
          <cell r="B163" t="str">
            <v>Oceania</v>
          </cell>
          <cell r="C163" t="str">
            <v>Polynesia</v>
          </cell>
          <cell r="G163" t="str">
            <v>x</v>
          </cell>
        </row>
        <row r="164">
          <cell r="A164" t="str">
            <v>Norfolk Island</v>
          </cell>
          <cell r="B164" t="str">
            <v>Oceania</v>
          </cell>
          <cell r="C164" t="str">
            <v>Australia and New Zealand</v>
          </cell>
        </row>
        <row r="165">
          <cell r="A165" t="str">
            <v>North Macedonia</v>
          </cell>
          <cell r="B165" t="str">
            <v>Europe</v>
          </cell>
          <cell r="C165" t="str">
            <v>Southern Europe</v>
          </cell>
          <cell r="F165" t="str">
            <v>x</v>
          </cell>
        </row>
        <row r="166">
          <cell r="A166" t="str">
            <v>Northern Mariana Islands</v>
          </cell>
          <cell r="B166" t="str">
            <v>Oceania</v>
          </cell>
          <cell r="C166" t="str">
            <v>Micronesia</v>
          </cell>
          <cell r="G166" t="str">
            <v>x</v>
          </cell>
        </row>
        <row r="167">
          <cell r="A167" t="str">
            <v>Norway</v>
          </cell>
          <cell r="B167" t="str">
            <v>Europe</v>
          </cell>
          <cell r="C167" t="str">
            <v>Northern Europe</v>
          </cell>
        </row>
        <row r="168">
          <cell r="A168" t="str">
            <v>Oman</v>
          </cell>
          <cell r="B168" t="str">
            <v>Asia</v>
          </cell>
          <cell r="C168" t="str">
            <v>Western Asia</v>
          </cell>
        </row>
        <row r="169">
          <cell r="A169" t="str">
            <v>Pakistan</v>
          </cell>
          <cell r="B169" t="str">
            <v>Asia</v>
          </cell>
          <cell r="C169" t="str">
            <v>Southern Asia</v>
          </cell>
        </row>
        <row r="170">
          <cell r="A170" t="str">
            <v>Palau</v>
          </cell>
          <cell r="B170" t="str">
            <v>Oceania</v>
          </cell>
          <cell r="C170" t="str">
            <v>Micronesia</v>
          </cell>
          <cell r="G170" t="str">
            <v>x</v>
          </cell>
        </row>
        <row r="171">
          <cell r="A171" t="str">
            <v>Panama</v>
          </cell>
          <cell r="B171" t="str">
            <v>Americas</v>
          </cell>
          <cell r="C171" t="str">
            <v>Latin America and the Caribbean</v>
          </cell>
          <cell r="D171" t="str">
            <v>Central America</v>
          </cell>
        </row>
        <row r="172">
          <cell r="A172" t="str">
            <v>Papua New Guinea</v>
          </cell>
          <cell r="B172" t="str">
            <v>Oceania</v>
          </cell>
          <cell r="C172" t="str">
            <v>Melanesia</v>
          </cell>
          <cell r="G172" t="str">
            <v>x</v>
          </cell>
        </row>
        <row r="173">
          <cell r="A173" t="str">
            <v>Paraguay</v>
          </cell>
          <cell r="B173" t="str">
            <v>Americas</v>
          </cell>
          <cell r="C173" t="str">
            <v>Latin America and the Caribbean</v>
          </cell>
          <cell r="D173" t="str">
            <v>South America</v>
          </cell>
          <cell r="F173" t="str">
            <v>x</v>
          </cell>
        </row>
        <row r="174">
          <cell r="A174" t="str">
            <v>Peru</v>
          </cell>
          <cell r="B174" t="str">
            <v>Americas</v>
          </cell>
          <cell r="C174" t="str">
            <v>Latin America and the Caribbean</v>
          </cell>
          <cell r="D174" t="str">
            <v>South America</v>
          </cell>
        </row>
        <row r="175">
          <cell r="A175" t="str">
            <v>Philippines</v>
          </cell>
          <cell r="B175" t="str">
            <v>Asia</v>
          </cell>
          <cell r="C175" t="str">
            <v>South-eastern Asia</v>
          </cell>
        </row>
        <row r="176">
          <cell r="A176" t="str">
            <v>Pitcairn</v>
          </cell>
          <cell r="B176" t="str">
            <v>Oceania</v>
          </cell>
          <cell r="C176" t="str">
            <v>Polynesia</v>
          </cell>
        </row>
        <row r="177">
          <cell r="A177" t="str">
            <v>Poland</v>
          </cell>
          <cell r="B177" t="str">
            <v>Europe</v>
          </cell>
          <cell r="C177" t="str">
            <v>Eastern Europe</v>
          </cell>
        </row>
        <row r="178">
          <cell r="A178" t="str">
            <v>Portugal</v>
          </cell>
          <cell r="B178" t="str">
            <v>Europe</v>
          </cell>
          <cell r="C178" t="str">
            <v>Southern Europe</v>
          </cell>
        </row>
        <row r="179">
          <cell r="A179" t="str">
            <v>Puerto Rico</v>
          </cell>
          <cell r="B179" t="str">
            <v>Americas</v>
          </cell>
          <cell r="C179" t="str">
            <v>Latin America and the Caribbean</v>
          </cell>
          <cell r="D179" t="str">
            <v>Caribbean</v>
          </cell>
          <cell r="G179" t="str">
            <v>x</v>
          </cell>
        </row>
        <row r="180">
          <cell r="A180" t="str">
            <v>Qatar</v>
          </cell>
          <cell r="B180" t="str">
            <v>Asia</v>
          </cell>
          <cell r="C180" t="str">
            <v>Western Asia</v>
          </cell>
        </row>
        <row r="181">
          <cell r="A181" t="str">
            <v>Republic of Korea</v>
          </cell>
          <cell r="B181" t="str">
            <v>Asia</v>
          </cell>
          <cell r="C181" t="str">
            <v>Eastern Asia</v>
          </cell>
        </row>
        <row r="182">
          <cell r="A182" t="str">
            <v>Moldova</v>
          </cell>
          <cell r="B182" t="str">
            <v>Europe</v>
          </cell>
          <cell r="C182" t="str">
            <v>Eastern Europe</v>
          </cell>
          <cell r="F182" t="str">
            <v>x</v>
          </cell>
        </row>
        <row r="183">
          <cell r="A183" t="str">
            <v>Réunion</v>
          </cell>
          <cell r="B183" t="str">
            <v>Africa</v>
          </cell>
          <cell r="C183" t="str">
            <v>Sub-Saharan Africa</v>
          </cell>
          <cell r="D183" t="str">
            <v>Eastern Africa</v>
          </cell>
        </row>
        <row r="184">
          <cell r="A184" t="str">
            <v>Romania</v>
          </cell>
          <cell r="B184" t="str">
            <v>Europe</v>
          </cell>
          <cell r="C184" t="str">
            <v>Eastern Europe</v>
          </cell>
        </row>
        <row r="185">
          <cell r="A185" t="str">
            <v>Russian Federation</v>
          </cell>
          <cell r="B185" t="str">
            <v>Europe</v>
          </cell>
          <cell r="C185" t="str">
            <v>Eastern Europe</v>
          </cell>
        </row>
        <row r="186">
          <cell r="A186" t="str">
            <v>Rwanda</v>
          </cell>
          <cell r="B186" t="str">
            <v>Africa</v>
          </cell>
          <cell r="C186" t="str">
            <v>Sub-Saharan Africa</v>
          </cell>
          <cell r="D186" t="str">
            <v>Eastern Africa</v>
          </cell>
          <cell r="E186" t="str">
            <v>x</v>
          </cell>
          <cell r="F186" t="str">
            <v>x</v>
          </cell>
        </row>
        <row r="187">
          <cell r="A187" t="str">
            <v>Saint Barthélemy</v>
          </cell>
          <cell r="B187" t="str">
            <v>Americas</v>
          </cell>
          <cell r="C187" t="str">
            <v>Latin America and the Caribbean</v>
          </cell>
          <cell r="D187" t="str">
            <v>Caribbean</v>
          </cell>
        </row>
        <row r="188">
          <cell r="A188" t="str">
            <v>Saint Helena</v>
          </cell>
          <cell r="B188" t="str">
            <v>Africa</v>
          </cell>
          <cell r="C188" t="str">
            <v>Sub-Saharan Africa</v>
          </cell>
          <cell r="D188" t="str">
            <v>Western Africa</v>
          </cell>
        </row>
        <row r="189">
          <cell r="A189" t="str">
            <v>St. Kitts and Nevis</v>
          </cell>
          <cell r="B189" t="str">
            <v>Americas</v>
          </cell>
          <cell r="C189" t="str">
            <v>Latin America and the Caribbean</v>
          </cell>
          <cell r="D189" t="str">
            <v>Caribbean</v>
          </cell>
          <cell r="G189" t="str">
            <v>x</v>
          </cell>
        </row>
        <row r="190">
          <cell r="A190" t="str">
            <v>St. Lucia</v>
          </cell>
          <cell r="B190" t="str">
            <v>Americas</v>
          </cell>
          <cell r="C190" t="str">
            <v>Latin America and the Caribbean</v>
          </cell>
          <cell r="D190" t="str">
            <v>Caribbean</v>
          </cell>
          <cell r="G190" t="str">
            <v>x</v>
          </cell>
        </row>
        <row r="191">
          <cell r="A191" t="str">
            <v>Saint Martin (French Part)</v>
          </cell>
          <cell r="B191" t="str">
            <v>Americas</v>
          </cell>
          <cell r="C191" t="str">
            <v>Latin America and the Caribbean</v>
          </cell>
          <cell r="D191" t="str">
            <v>Caribbean</v>
          </cell>
        </row>
        <row r="192">
          <cell r="A192" t="str">
            <v>Saint Pierre and Miquelon</v>
          </cell>
          <cell r="B192" t="str">
            <v>Americas</v>
          </cell>
          <cell r="C192" t="str">
            <v>Northern America</v>
          </cell>
        </row>
        <row r="193">
          <cell r="A193" t="str">
            <v>St. Vincent and the Grenadines</v>
          </cell>
          <cell r="B193" t="str">
            <v>Americas</v>
          </cell>
          <cell r="C193" t="str">
            <v>Latin America and the Caribbean</v>
          </cell>
          <cell r="D193" t="str">
            <v>Caribbean</v>
          </cell>
          <cell r="G193" t="str">
            <v>x</v>
          </cell>
        </row>
        <row r="194">
          <cell r="A194" t="str">
            <v>Samoa</v>
          </cell>
          <cell r="B194" t="str">
            <v>Oceania</v>
          </cell>
          <cell r="C194" t="str">
            <v>Polynesia</v>
          </cell>
          <cell r="G194" t="str">
            <v>x</v>
          </cell>
        </row>
        <row r="195">
          <cell r="A195" t="str">
            <v>San Marino</v>
          </cell>
          <cell r="B195" t="str">
            <v>Europe</v>
          </cell>
          <cell r="C195" t="str">
            <v>Southern Europe</v>
          </cell>
        </row>
        <row r="196">
          <cell r="A196" t="str">
            <v>Sao Tome &amp; Principe</v>
          </cell>
          <cell r="B196" t="str">
            <v>Africa</v>
          </cell>
          <cell r="C196" t="str">
            <v>Sub-Saharan Africa</v>
          </cell>
          <cell r="D196" t="str">
            <v>Middle Africa</v>
          </cell>
          <cell r="E196" t="str">
            <v>x</v>
          </cell>
          <cell r="G196" t="str">
            <v>x</v>
          </cell>
        </row>
        <row r="197">
          <cell r="A197" t="str">
            <v>Saudi Arabia</v>
          </cell>
          <cell r="B197" t="str">
            <v>Asia</v>
          </cell>
          <cell r="C197" t="str">
            <v>Western Asia</v>
          </cell>
        </row>
        <row r="198">
          <cell r="A198" t="str">
            <v>Senegal</v>
          </cell>
          <cell r="B198" t="str">
            <v>Africa</v>
          </cell>
          <cell r="C198" t="str">
            <v>Sub-Saharan Africa</v>
          </cell>
          <cell r="D198" t="str">
            <v>Western Africa</v>
          </cell>
          <cell r="E198" t="str">
            <v>x</v>
          </cell>
        </row>
        <row r="199">
          <cell r="A199" t="str">
            <v>Serbia</v>
          </cell>
          <cell r="B199" t="str">
            <v>Europe</v>
          </cell>
          <cell r="C199" t="str">
            <v>Southern Europe</v>
          </cell>
        </row>
        <row r="200">
          <cell r="A200" t="str">
            <v>Seychelles</v>
          </cell>
          <cell r="B200" t="str">
            <v>Africa</v>
          </cell>
          <cell r="C200" t="str">
            <v>Sub-Saharan Africa</v>
          </cell>
          <cell r="D200" t="str">
            <v>Eastern Africa</v>
          </cell>
          <cell r="G200" t="str">
            <v>x</v>
          </cell>
        </row>
        <row r="201">
          <cell r="A201" t="str">
            <v>Sierra Leone</v>
          </cell>
          <cell r="B201" t="str">
            <v>Africa</v>
          </cell>
          <cell r="C201" t="str">
            <v>Sub-Saharan Africa</v>
          </cell>
          <cell r="D201" t="str">
            <v>Western Africa</v>
          </cell>
          <cell r="E201" t="str">
            <v>x</v>
          </cell>
        </row>
        <row r="202">
          <cell r="A202" t="str">
            <v>Singapore</v>
          </cell>
          <cell r="B202" t="str">
            <v>Asia</v>
          </cell>
          <cell r="C202" t="str">
            <v>South-eastern Asia</v>
          </cell>
          <cell r="G202" t="str">
            <v>x</v>
          </cell>
        </row>
        <row r="203">
          <cell r="A203" t="str">
            <v>Sint Maarten (Dutch part)</v>
          </cell>
          <cell r="B203" t="str">
            <v>Americas</v>
          </cell>
          <cell r="C203" t="str">
            <v>Latin America and the Caribbean</v>
          </cell>
          <cell r="D203" t="str">
            <v>Caribbean</v>
          </cell>
          <cell r="G203" t="str">
            <v>x</v>
          </cell>
        </row>
        <row r="204">
          <cell r="A204" t="str">
            <v>Slovakia</v>
          </cell>
          <cell r="B204" t="str">
            <v>Europe</v>
          </cell>
          <cell r="C204" t="str">
            <v>Eastern Europe</v>
          </cell>
        </row>
        <row r="205">
          <cell r="A205" t="str">
            <v>Slovenia</v>
          </cell>
          <cell r="B205" t="str">
            <v>Europe</v>
          </cell>
          <cell r="C205" t="str">
            <v>Southern Europe</v>
          </cell>
        </row>
        <row r="206">
          <cell r="A206" t="str">
            <v>Solomon Islands</v>
          </cell>
          <cell r="B206" t="str">
            <v>Oceania</v>
          </cell>
          <cell r="C206" t="str">
            <v>Melanesia</v>
          </cell>
          <cell r="E206" t="str">
            <v>x</v>
          </cell>
          <cell r="G206" t="str">
            <v>x</v>
          </cell>
        </row>
        <row r="207">
          <cell r="A207" t="str">
            <v>Somalia</v>
          </cell>
          <cell r="B207" t="str">
            <v>Africa</v>
          </cell>
          <cell r="C207" t="str">
            <v>Sub-Saharan Africa</v>
          </cell>
          <cell r="D207" t="str">
            <v>Eastern Africa</v>
          </cell>
          <cell r="E207" t="str">
            <v>x</v>
          </cell>
        </row>
        <row r="208">
          <cell r="A208" t="str">
            <v>South Africa</v>
          </cell>
          <cell r="B208" t="str">
            <v>Africa</v>
          </cell>
          <cell r="C208" t="str">
            <v>Sub-Saharan Africa</v>
          </cell>
          <cell r="D208" t="str">
            <v>Southern Africa</v>
          </cell>
        </row>
        <row r="209">
          <cell r="A209" t="str">
            <v>South Georgia and the South Sandwich Islands</v>
          </cell>
          <cell r="B209" t="str">
            <v>Americas</v>
          </cell>
          <cell r="C209" t="str">
            <v>Latin America and the Caribbean</v>
          </cell>
          <cell r="D209" t="str">
            <v>South America</v>
          </cell>
        </row>
        <row r="210">
          <cell r="A210" t="str">
            <v>South Sudan</v>
          </cell>
          <cell r="B210" t="str">
            <v>Africa</v>
          </cell>
          <cell r="C210" t="str">
            <v>Sub-Saharan Africa</v>
          </cell>
          <cell r="D210" t="str">
            <v>Eastern Africa</v>
          </cell>
          <cell r="E210" t="str">
            <v>x</v>
          </cell>
          <cell r="F210" t="str">
            <v>x</v>
          </cell>
        </row>
        <row r="211">
          <cell r="A211" t="str">
            <v>Spain</v>
          </cell>
          <cell r="B211" t="str">
            <v>Europe</v>
          </cell>
          <cell r="C211" t="str">
            <v>Southern Europe</v>
          </cell>
        </row>
        <row r="212">
          <cell r="A212" t="str">
            <v>Sri Lanka</v>
          </cell>
          <cell r="B212" t="str">
            <v>Asia</v>
          </cell>
          <cell r="C212" t="str">
            <v>Southern Asia</v>
          </cell>
        </row>
        <row r="213">
          <cell r="A213" t="str">
            <v>Palestine, State of</v>
          </cell>
          <cell r="B213" t="str">
            <v>Asia</v>
          </cell>
          <cell r="C213" t="str">
            <v>Western Asia</v>
          </cell>
        </row>
        <row r="214">
          <cell r="A214" t="str">
            <v>Sudan</v>
          </cell>
          <cell r="B214" t="str">
            <v>Africa</v>
          </cell>
          <cell r="C214" t="str">
            <v>Northern Africa</v>
          </cell>
          <cell r="E214" t="str">
            <v>x</v>
          </cell>
        </row>
        <row r="215">
          <cell r="A215" t="str">
            <v>Suriname</v>
          </cell>
          <cell r="B215" t="str">
            <v>Americas</v>
          </cell>
          <cell r="C215" t="str">
            <v>Latin America and the Caribbean</v>
          </cell>
          <cell r="D215" t="str">
            <v>South America</v>
          </cell>
          <cell r="G215" t="str">
            <v>x</v>
          </cell>
        </row>
        <row r="216">
          <cell r="A216" t="str">
            <v>Svalbard and Jan Mayen Islands</v>
          </cell>
          <cell r="B216" t="str">
            <v>Europe</v>
          </cell>
          <cell r="C216" t="str">
            <v>Northern Europe</v>
          </cell>
        </row>
        <row r="217">
          <cell r="A217" t="str">
            <v>Sweden</v>
          </cell>
          <cell r="B217" t="str">
            <v>Europe</v>
          </cell>
          <cell r="C217" t="str">
            <v>Northern Europe</v>
          </cell>
        </row>
        <row r="218">
          <cell r="A218" t="str">
            <v>Switzerland</v>
          </cell>
          <cell r="B218" t="str">
            <v>Europe</v>
          </cell>
          <cell r="C218" t="str">
            <v>Western Europe</v>
          </cell>
        </row>
        <row r="219">
          <cell r="A219" t="str">
            <v>Syria</v>
          </cell>
          <cell r="B219" t="str">
            <v>Asia</v>
          </cell>
          <cell r="C219" t="str">
            <v>Western Asia</v>
          </cell>
        </row>
        <row r="220">
          <cell r="A220" t="str">
            <v>Tajikistan</v>
          </cell>
          <cell r="B220" t="str">
            <v>Asia</v>
          </cell>
          <cell r="C220" t="str">
            <v>Central Asia</v>
          </cell>
          <cell r="F220" t="str">
            <v>x</v>
          </cell>
        </row>
        <row r="221">
          <cell r="A221" t="str">
            <v>Thailand</v>
          </cell>
          <cell r="B221" t="str">
            <v>Asia</v>
          </cell>
          <cell r="C221" t="str">
            <v>South-eastern Asia</v>
          </cell>
        </row>
        <row r="222">
          <cell r="A222" t="str">
            <v>Timor-Leste</v>
          </cell>
          <cell r="B222" t="str">
            <v>Asia</v>
          </cell>
          <cell r="C222" t="str">
            <v>South-eastern Asia</v>
          </cell>
          <cell r="E222" t="str">
            <v>x</v>
          </cell>
          <cell r="G222" t="str">
            <v>x</v>
          </cell>
        </row>
        <row r="223">
          <cell r="A223" t="str">
            <v>Togo</v>
          </cell>
          <cell r="B223" t="str">
            <v>Africa</v>
          </cell>
          <cell r="C223" t="str">
            <v>Sub-Saharan Africa</v>
          </cell>
          <cell r="D223" t="str">
            <v>Western Africa</v>
          </cell>
          <cell r="E223" t="str">
            <v>x</v>
          </cell>
        </row>
        <row r="224">
          <cell r="A224" t="str">
            <v>Tokelau</v>
          </cell>
          <cell r="B224" t="str">
            <v>Oceania</v>
          </cell>
          <cell r="C224" t="str">
            <v>Polynesia</v>
          </cell>
        </row>
        <row r="225">
          <cell r="A225" t="str">
            <v>Tonga</v>
          </cell>
          <cell r="B225" t="str">
            <v>Oceania</v>
          </cell>
          <cell r="C225" t="str">
            <v>Polynesia</v>
          </cell>
          <cell r="G225" t="str">
            <v>x</v>
          </cell>
        </row>
        <row r="226">
          <cell r="A226" t="str">
            <v>Trinidad &amp; Tobago</v>
          </cell>
          <cell r="B226" t="str">
            <v>Americas</v>
          </cell>
          <cell r="C226" t="str">
            <v>Latin America and the Caribbean</v>
          </cell>
          <cell r="D226" t="str">
            <v>Caribbean</v>
          </cell>
          <cell r="G226" t="str">
            <v>x</v>
          </cell>
        </row>
        <row r="227">
          <cell r="A227" t="str">
            <v>Tunisia</v>
          </cell>
          <cell r="B227" t="str">
            <v>Africa</v>
          </cell>
          <cell r="C227" t="str">
            <v>Northern Africa</v>
          </cell>
        </row>
        <row r="228">
          <cell r="A228" t="str">
            <v>Turkey</v>
          </cell>
          <cell r="B228" t="str">
            <v>Asia</v>
          </cell>
          <cell r="C228" t="str">
            <v>Western Asia</v>
          </cell>
        </row>
        <row r="229">
          <cell r="A229" t="str">
            <v>Turkmenistan</v>
          </cell>
          <cell r="B229" t="str">
            <v>Asia</v>
          </cell>
          <cell r="C229" t="str">
            <v>Central Asia</v>
          </cell>
          <cell r="F229" t="str">
            <v>x</v>
          </cell>
        </row>
        <row r="230">
          <cell r="A230" t="str">
            <v>Turks and Caicos Islands</v>
          </cell>
          <cell r="B230" t="str">
            <v>Americas</v>
          </cell>
          <cell r="C230" t="str">
            <v>Latin America and the Caribbean</v>
          </cell>
          <cell r="D230" t="str">
            <v>Caribbean</v>
          </cell>
        </row>
        <row r="231">
          <cell r="A231" t="str">
            <v>Tuvalu</v>
          </cell>
          <cell r="B231" t="str">
            <v>Oceania</v>
          </cell>
          <cell r="C231" t="str">
            <v>Polynesia</v>
          </cell>
          <cell r="E231" t="str">
            <v>x</v>
          </cell>
          <cell r="G231" t="str">
            <v>x</v>
          </cell>
        </row>
        <row r="232">
          <cell r="A232" t="str">
            <v>Uganda</v>
          </cell>
          <cell r="B232" t="str">
            <v>Africa</v>
          </cell>
          <cell r="C232" t="str">
            <v>Sub-Saharan Africa</v>
          </cell>
          <cell r="D232" t="str">
            <v>Eastern Africa</v>
          </cell>
          <cell r="E232" t="str">
            <v>x</v>
          </cell>
          <cell r="F232" t="str">
            <v>x</v>
          </cell>
        </row>
        <row r="233">
          <cell r="A233" t="str">
            <v>Ukraine</v>
          </cell>
          <cell r="B233" t="str">
            <v>Europe</v>
          </cell>
          <cell r="C233" t="str">
            <v>Eastern Europe</v>
          </cell>
        </row>
        <row r="234">
          <cell r="A234" t="str">
            <v>UAE</v>
          </cell>
          <cell r="B234" t="str">
            <v>Asia</v>
          </cell>
          <cell r="C234" t="str">
            <v>Western Asia</v>
          </cell>
        </row>
        <row r="235">
          <cell r="A235" t="str">
            <v>United Kingdom of Great Britain and Northern Ireland</v>
          </cell>
          <cell r="B235" t="str">
            <v>Europe</v>
          </cell>
          <cell r="C235" t="str">
            <v>Northern Europe</v>
          </cell>
        </row>
        <row r="236">
          <cell r="A236" t="str">
            <v>United Rep. of Tanzania</v>
          </cell>
          <cell r="B236" t="str">
            <v>Africa</v>
          </cell>
          <cell r="C236" t="str">
            <v>Sub-Saharan Africa</v>
          </cell>
          <cell r="D236" t="str">
            <v>Eastern Africa</v>
          </cell>
          <cell r="E236" t="str">
            <v>x</v>
          </cell>
        </row>
        <row r="237">
          <cell r="A237" t="str">
            <v>United States Minor Outlying Islands</v>
          </cell>
          <cell r="B237" t="str">
            <v>Oceania</v>
          </cell>
          <cell r="C237" t="str">
            <v>Micronesia</v>
          </cell>
        </row>
        <row r="238">
          <cell r="A238" t="str">
            <v>United States of America</v>
          </cell>
          <cell r="B238" t="str">
            <v>Americas</v>
          </cell>
          <cell r="C238" t="str">
            <v>Northern America</v>
          </cell>
        </row>
        <row r="239">
          <cell r="A239" t="str">
            <v>United States Virgin Islands</v>
          </cell>
          <cell r="B239" t="str">
            <v>Americas</v>
          </cell>
          <cell r="C239" t="str">
            <v>Latin America and the Caribbean</v>
          </cell>
          <cell r="D239" t="str">
            <v>Caribbean</v>
          </cell>
          <cell r="G239" t="str">
            <v>x</v>
          </cell>
        </row>
        <row r="240">
          <cell r="A240" t="str">
            <v>Uruguay</v>
          </cell>
          <cell r="B240" t="str">
            <v>Americas</v>
          </cell>
          <cell r="C240" t="str">
            <v>Latin America and the Caribbean</v>
          </cell>
          <cell r="D240" t="str">
            <v>South America</v>
          </cell>
        </row>
        <row r="241">
          <cell r="A241" t="str">
            <v>Rep of Uzbekistan</v>
          </cell>
          <cell r="B241" t="str">
            <v>Asia</v>
          </cell>
          <cell r="C241" t="str">
            <v>Central Asia</v>
          </cell>
          <cell r="F241" t="str">
            <v>x</v>
          </cell>
        </row>
        <row r="242">
          <cell r="A242" t="str">
            <v>Vanuatu</v>
          </cell>
          <cell r="B242" t="str">
            <v>Oceania</v>
          </cell>
          <cell r="C242" t="str">
            <v>Melanesia</v>
          </cell>
          <cell r="G242" t="str">
            <v>x</v>
          </cell>
        </row>
        <row r="243">
          <cell r="A243" t="str">
            <v>Venezuela</v>
          </cell>
          <cell r="B243" t="str">
            <v>Americas</v>
          </cell>
          <cell r="C243" t="str">
            <v>Latin America and the Caribbean</v>
          </cell>
          <cell r="D243" t="str">
            <v>South America</v>
          </cell>
        </row>
        <row r="244">
          <cell r="A244" t="str">
            <v>Vietnam</v>
          </cell>
          <cell r="B244" t="str">
            <v>Asia</v>
          </cell>
          <cell r="C244" t="str">
            <v>South-eastern Asia</v>
          </cell>
        </row>
        <row r="245">
          <cell r="A245" t="str">
            <v>Wallis and Futuna Islands</v>
          </cell>
          <cell r="B245" t="str">
            <v>Oceania</v>
          </cell>
          <cell r="C245" t="str">
            <v>Polynesia</v>
          </cell>
        </row>
        <row r="246">
          <cell r="A246" t="str">
            <v>Western Sahara</v>
          </cell>
          <cell r="B246" t="str">
            <v>Africa</v>
          </cell>
          <cell r="C246" t="str">
            <v>Northern Africa</v>
          </cell>
        </row>
        <row r="247">
          <cell r="A247" t="str">
            <v>Yemen</v>
          </cell>
          <cell r="B247" t="str">
            <v>Asia</v>
          </cell>
          <cell r="C247" t="str">
            <v>Western Asia</v>
          </cell>
          <cell r="E247" t="str">
            <v>x</v>
          </cell>
        </row>
        <row r="248">
          <cell r="A248" t="str">
            <v>Zambia</v>
          </cell>
          <cell r="B248" t="str">
            <v>Africa</v>
          </cell>
          <cell r="C248" t="str">
            <v>Sub-Saharan Africa</v>
          </cell>
          <cell r="D248" t="str">
            <v>Eastern Africa</v>
          </cell>
          <cell r="E248" t="str">
            <v>x</v>
          </cell>
          <cell r="F248" t="str">
            <v>x</v>
          </cell>
        </row>
        <row r="249">
          <cell r="A249" t="str">
            <v>Zimbabwe</v>
          </cell>
          <cell r="B249" t="str">
            <v>Africa</v>
          </cell>
          <cell r="C249" t="str">
            <v>Sub-Saharan Africa</v>
          </cell>
          <cell r="D249" t="str">
            <v>Eastern Africa</v>
          </cell>
          <cell r="F249" t="str">
            <v>x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kj985_mM02R_fZ8kndDORUc9WFKL35Pu_wWRT_liDFz17PSSOH6Sb-e1X-NOcJM" itemId="01UTSGE5FU3GJZ3SNAZVCYXNO5TO3KOMC4">
      <xxl21:absoluteUrl r:id="rId2"/>
    </xxl21:alternateUrls>
    <sheetNames>
      <sheetName val="clean"/>
      <sheetName val="DI region (6)"/>
    </sheetNames>
    <sheetDataSet>
      <sheetData sheetId="0">
        <row r="2">
          <cell r="A2" t="str">
            <v>Afghanistan</v>
          </cell>
          <cell r="B2">
            <v>111951020.6549</v>
          </cell>
          <cell r="C2">
            <v>500662217.52130002</v>
          </cell>
          <cell r="D2">
            <v>31178753.680599999</v>
          </cell>
          <cell r="E2">
            <v>643791991.85679996</v>
          </cell>
          <cell r="F2">
            <v>0.17389315504222899</v>
          </cell>
        </row>
        <row r="3">
          <cell r="A3" t="str">
            <v>Albania</v>
          </cell>
          <cell r="B3">
            <v>4096291.16</v>
          </cell>
          <cell r="C3">
            <v>4555499.0087000001</v>
          </cell>
          <cell r="D3">
            <v>909272.70080000046</v>
          </cell>
          <cell r="E3">
            <v>9561062.8695</v>
          </cell>
          <cell r="F3">
            <v>0.42843470604792899</v>
          </cell>
        </row>
        <row r="4">
          <cell r="A4" t="str">
            <v>Algeria</v>
          </cell>
          <cell r="B4">
            <v>4952422.8198999995</v>
          </cell>
          <cell r="C4">
            <v>572429.69999999995</v>
          </cell>
          <cell r="D4">
            <v>1961455.6181999999</v>
          </cell>
          <cell r="E4">
            <v>7486308.1381000001</v>
          </cell>
          <cell r="F4">
            <v>0.66153072095652599</v>
          </cell>
        </row>
        <row r="5">
          <cell r="A5" t="str">
            <v>Analysis,Planning &amp; Monitoring</v>
          </cell>
          <cell r="B5">
            <v>386770.83979999978</v>
          </cell>
          <cell r="C5">
            <v>9272878.8359999992</v>
          </cell>
          <cell r="D5">
            <v>6647430.6787</v>
          </cell>
          <cell r="E5">
            <v>16307080.354499999</v>
          </cell>
          <cell r="F5">
            <v>2.3717969826111102E-2</v>
          </cell>
        </row>
        <row r="6">
          <cell r="A6" t="str">
            <v>Angola</v>
          </cell>
          <cell r="B6">
            <v>6736137.6798</v>
          </cell>
          <cell r="C6">
            <v>10898074.079500001</v>
          </cell>
          <cell r="D6">
            <v>7461374.6290999996</v>
          </cell>
          <cell r="E6">
            <v>25095586.3884</v>
          </cell>
          <cell r="F6">
            <v>0.26841921824602799</v>
          </cell>
        </row>
        <row r="7">
          <cell r="A7" t="str">
            <v>Argentina</v>
          </cell>
          <cell r="B7">
            <v>22304.94</v>
          </cell>
          <cell r="C7">
            <v>6245805.8086999999</v>
          </cell>
          <cell r="D7">
            <v>1220212.3502</v>
          </cell>
          <cell r="E7">
            <v>7488323.0988999996</v>
          </cell>
          <cell r="F7">
            <v>2.97862948825973E-3</v>
          </cell>
        </row>
        <row r="8">
          <cell r="A8" t="str">
            <v>Armenia</v>
          </cell>
          <cell r="B8">
            <v>5141802.1407000003</v>
          </cell>
          <cell r="C8">
            <v>2626740.0084000002</v>
          </cell>
          <cell r="D8">
            <v>1732737.2115</v>
          </cell>
          <cell r="E8">
            <v>9501279.3606000002</v>
          </cell>
          <cell r="F8">
            <v>0.54116945156060503</v>
          </cell>
        </row>
        <row r="9">
          <cell r="A9" t="str">
            <v>Azerbaijan</v>
          </cell>
          <cell r="B9">
            <v>221416.64009999999</v>
          </cell>
          <cell r="C9">
            <v>1377192.9797</v>
          </cell>
          <cell r="D9">
            <v>1116362.0407</v>
          </cell>
          <cell r="E9">
            <v>2714971.6605000002</v>
          </cell>
          <cell r="F9">
            <v>8.1553941546197606E-2</v>
          </cell>
        </row>
        <row r="10">
          <cell r="A10" t="str">
            <v>Bangladesh</v>
          </cell>
          <cell r="B10">
            <v>46817275.030000001</v>
          </cell>
          <cell r="C10">
            <v>87304892.299400002</v>
          </cell>
          <cell r="D10">
            <v>13393623.4771</v>
          </cell>
          <cell r="E10">
            <v>147515790.80649999</v>
          </cell>
          <cell r="F10">
            <v>0.31737127784110503</v>
          </cell>
        </row>
        <row r="11">
          <cell r="A11" t="str">
            <v>Barbados</v>
          </cell>
          <cell r="B11">
            <v>1550892.3300999999</v>
          </cell>
          <cell r="C11">
            <v>1636409.9105</v>
          </cell>
          <cell r="D11">
            <v>6717476.2602000004</v>
          </cell>
          <cell r="E11">
            <v>9904778.5008000005</v>
          </cell>
          <cell r="F11">
            <v>0.15658021327531299</v>
          </cell>
        </row>
        <row r="12">
          <cell r="A12" t="str">
            <v>Belarus</v>
          </cell>
          <cell r="B12">
            <v>1787184.8393999999</v>
          </cell>
          <cell r="C12">
            <v>995128.96050000004</v>
          </cell>
          <cell r="D12">
            <v>972590.83969999989</v>
          </cell>
          <cell r="E12">
            <v>3754904.6395999999</v>
          </cell>
          <cell r="F12">
            <v>0.47596011375414998</v>
          </cell>
        </row>
        <row r="13">
          <cell r="A13" t="str">
            <v>Belize</v>
          </cell>
          <cell r="B13">
            <v>2508297.3979000002</v>
          </cell>
          <cell r="C13">
            <v>1119577.2291000001</v>
          </cell>
          <cell r="D13">
            <v>956441.92019999993</v>
          </cell>
          <cell r="E13">
            <v>4584316.5471999999</v>
          </cell>
          <cell r="F13">
            <v>0.54714751306429998</v>
          </cell>
        </row>
        <row r="14">
          <cell r="A14" t="str">
            <v>Benin</v>
          </cell>
          <cell r="B14">
            <v>4392541.0821000002</v>
          </cell>
          <cell r="C14">
            <v>23642653.158799998</v>
          </cell>
          <cell r="D14">
            <v>8545563.9837999996</v>
          </cell>
          <cell r="E14">
            <v>36580758.224699996</v>
          </cell>
          <cell r="F14">
            <v>0.120077912412818</v>
          </cell>
        </row>
        <row r="15">
          <cell r="A15" t="str">
            <v>Bhutan</v>
          </cell>
          <cell r="B15">
            <v>265229.6298</v>
          </cell>
          <cell r="C15">
            <v>2848931.4901000001</v>
          </cell>
          <cell r="D15">
            <v>1273806.2291999999</v>
          </cell>
          <cell r="E15">
            <v>4387967.3491000002</v>
          </cell>
          <cell r="F15">
            <v>6.0444759201410299E-2</v>
          </cell>
        </row>
        <row r="16">
          <cell r="A16" t="str">
            <v>Bolivia</v>
          </cell>
          <cell r="B16">
            <v>670592.05940000003</v>
          </cell>
          <cell r="C16">
            <v>6474208.9326999998</v>
          </cell>
          <cell r="D16">
            <v>1551046.1917000001</v>
          </cell>
          <cell r="E16">
            <v>8695847.1838000007</v>
          </cell>
          <cell r="F16">
            <v>7.71163574090038E-2</v>
          </cell>
        </row>
        <row r="17">
          <cell r="A17" t="str">
            <v>Bosnia and Herzegovina</v>
          </cell>
          <cell r="B17">
            <v>518121.10000000009</v>
          </cell>
          <cell r="C17">
            <v>3590563.6398</v>
          </cell>
          <cell r="D17">
            <v>1106480.0109000001</v>
          </cell>
          <cell r="E17">
            <v>5215164.7506999997</v>
          </cell>
          <cell r="F17">
            <v>9.9348941935239105E-2</v>
          </cell>
        </row>
        <row r="18">
          <cell r="A18" t="str">
            <v>Botswana</v>
          </cell>
          <cell r="B18">
            <v>505694.62999999989</v>
          </cell>
          <cell r="C18">
            <v>753448.02</v>
          </cell>
          <cell r="D18">
            <v>1105674.0005000001</v>
          </cell>
          <cell r="E18">
            <v>2364816.6505</v>
          </cell>
          <cell r="F18">
            <v>0.21384094614399801</v>
          </cell>
        </row>
        <row r="19">
          <cell r="A19" t="str">
            <v>Brazil</v>
          </cell>
          <cell r="B19">
            <v>8384680.8717999998</v>
          </cell>
          <cell r="C19">
            <v>17020311.161600001</v>
          </cell>
          <cell r="D19">
            <v>989384.61129999964</v>
          </cell>
          <cell r="E19">
            <v>26394376.644699998</v>
          </cell>
          <cell r="F19">
            <v>0.31766921358544897</v>
          </cell>
        </row>
        <row r="20">
          <cell r="A20" t="str">
            <v>Bulgaria</v>
          </cell>
          <cell r="B20">
            <v>2486145.6608000002</v>
          </cell>
          <cell r="C20">
            <v>1179063.5197000001</v>
          </cell>
          <cell r="D20">
            <v>959807.70199999993</v>
          </cell>
          <cell r="E20">
            <v>4625016.8825000003</v>
          </cell>
          <cell r="F20">
            <v>0.53754304556314203</v>
          </cell>
        </row>
        <row r="21">
          <cell r="A21" t="str">
            <v>Burkina Faso</v>
          </cell>
          <cell r="B21">
            <v>20520676.603500001</v>
          </cell>
          <cell r="C21">
            <v>34644053.410400003</v>
          </cell>
          <cell r="D21">
            <v>19036936.314399999</v>
          </cell>
          <cell r="E21">
            <v>74201666.328299999</v>
          </cell>
          <cell r="F21">
            <v>0.27655277325859101</v>
          </cell>
        </row>
        <row r="22">
          <cell r="A22" t="str">
            <v>Burundi</v>
          </cell>
          <cell r="B22">
            <v>3174514.4690999999</v>
          </cell>
          <cell r="C22">
            <v>24194087.287900001</v>
          </cell>
          <cell r="D22">
            <v>9696572.2002000008</v>
          </cell>
          <cell r="E22">
            <v>37065173.957199998</v>
          </cell>
          <cell r="F22">
            <v>8.5646825042982003E-2</v>
          </cell>
        </row>
        <row r="23">
          <cell r="A23" t="str">
            <v>Cabo Verde</v>
          </cell>
          <cell r="B23">
            <v>463372.72</v>
          </cell>
          <cell r="C23">
            <v>745965.42</v>
          </cell>
          <cell r="D23">
            <v>230372.88</v>
          </cell>
          <cell r="E23">
            <v>1439711.02</v>
          </cell>
          <cell r="F23">
            <v>0.32185120038881099</v>
          </cell>
        </row>
        <row r="24">
          <cell r="A24" t="str">
            <v>Cambodia</v>
          </cell>
          <cell r="B24">
            <v>4880934.1505000005</v>
          </cell>
          <cell r="C24">
            <v>12246422.7513</v>
          </cell>
          <cell r="D24">
            <v>3880613.9210000001</v>
          </cell>
          <cell r="E24">
            <v>21007970.822799999</v>
          </cell>
          <cell r="F24">
            <v>0.232337249117021</v>
          </cell>
        </row>
        <row r="25">
          <cell r="A25" t="str">
            <v>Central African Republic</v>
          </cell>
          <cell r="B25">
            <v>23575878.593199998</v>
          </cell>
          <cell r="C25">
            <v>34307923.392099999</v>
          </cell>
          <cell r="D25">
            <v>9912722.2885999996</v>
          </cell>
          <cell r="E25">
            <v>67796524.273900002</v>
          </cell>
          <cell r="F25">
            <v>0.34774464982825298</v>
          </cell>
        </row>
        <row r="26">
          <cell r="A26" t="str">
            <v>Chad</v>
          </cell>
          <cell r="B26">
            <v>21945721.847100001</v>
          </cell>
          <cell r="C26">
            <v>48381357.259900004</v>
          </cell>
          <cell r="D26">
            <v>20941936.598200001</v>
          </cell>
          <cell r="E26">
            <v>91269015.705200002</v>
          </cell>
          <cell r="F26">
            <v>0.24045095345374301</v>
          </cell>
        </row>
        <row r="27">
          <cell r="A27" t="str">
            <v>Chile</v>
          </cell>
          <cell r="B27">
            <v>1023464.59</v>
          </cell>
          <cell r="C27">
            <v>2658680.1716999998</v>
          </cell>
          <cell r="D27">
            <v>783612.78019999969</v>
          </cell>
          <cell r="E27">
            <v>4465757.5418999996</v>
          </cell>
          <cell r="F27">
            <v>0.22918050977853999</v>
          </cell>
        </row>
        <row r="28">
          <cell r="A28" t="str">
            <v>China</v>
          </cell>
          <cell r="B28">
            <v>6258.7303000000011</v>
          </cell>
          <cell r="C28">
            <v>34462660.058499999</v>
          </cell>
          <cell r="D28">
            <v>6367.54</v>
          </cell>
          <cell r="E28">
            <v>34475286.3288</v>
          </cell>
          <cell r="F28">
            <v>1.8154251832193101E-4</v>
          </cell>
        </row>
        <row r="29">
          <cell r="A29" t="str">
            <v>Colombia</v>
          </cell>
          <cell r="B29">
            <v>10891186.6998</v>
          </cell>
          <cell r="C29">
            <v>14881894.1325</v>
          </cell>
          <cell r="D29">
            <v>1195681.9379</v>
          </cell>
          <cell r="E29">
            <v>26968762.770199999</v>
          </cell>
          <cell r="F29">
            <v>0.40384450679489697</v>
          </cell>
        </row>
        <row r="30">
          <cell r="A30" t="str">
            <v>Comoros</v>
          </cell>
          <cell r="B30">
            <v>1372362.4399000001</v>
          </cell>
          <cell r="C30">
            <v>2390208.8188</v>
          </cell>
          <cell r="D30">
            <v>1738748.5407</v>
          </cell>
          <cell r="E30">
            <v>5501319.7993999999</v>
          </cell>
          <cell r="F30">
            <v>0.24946058217696701</v>
          </cell>
        </row>
        <row r="31">
          <cell r="A31" t="str">
            <v>Congo</v>
          </cell>
          <cell r="B31">
            <v>2925507.6301000002</v>
          </cell>
          <cell r="C31">
            <v>7302122.0899999999</v>
          </cell>
          <cell r="D31">
            <v>1938092.7097</v>
          </cell>
          <cell r="E31">
            <v>12165722.4298</v>
          </cell>
          <cell r="F31">
            <v>0.240471344548677</v>
          </cell>
        </row>
        <row r="32">
          <cell r="A32" t="str">
            <v>Costa Rica</v>
          </cell>
          <cell r="B32">
            <v>2134964.2198000001</v>
          </cell>
          <cell r="C32">
            <v>324312.22039999999</v>
          </cell>
          <cell r="D32">
            <v>821616.17009999999</v>
          </cell>
          <cell r="E32">
            <v>3280892.6102999998</v>
          </cell>
          <cell r="F32">
            <v>0.65072663856705204</v>
          </cell>
        </row>
        <row r="33">
          <cell r="A33" t="str">
            <v>Cote D'Ivoire</v>
          </cell>
          <cell r="B33">
            <v>6288929.0098000001</v>
          </cell>
          <cell r="C33">
            <v>42771844.399999999</v>
          </cell>
          <cell r="D33">
            <v>11670032.8007</v>
          </cell>
          <cell r="E33">
            <v>60730806.210500002</v>
          </cell>
          <cell r="F33">
            <v>0.103554182831063</v>
          </cell>
        </row>
        <row r="34">
          <cell r="A34" t="str">
            <v>Croatia</v>
          </cell>
          <cell r="B34">
            <v>466693.6301999999</v>
          </cell>
          <cell r="C34">
            <v>2470416.6288000001</v>
          </cell>
          <cell r="D34">
            <v>-136750.2298</v>
          </cell>
          <cell r="E34">
            <v>2800360.0292000002</v>
          </cell>
          <cell r="F34">
            <v>0.16665486770760801</v>
          </cell>
        </row>
        <row r="35">
          <cell r="A35" t="str">
            <v>Cuba</v>
          </cell>
          <cell r="B35">
            <v>1694527.3200999999</v>
          </cell>
          <cell r="C35">
            <v>1240368.32</v>
          </cell>
          <cell r="D35">
            <v>1108366.3195</v>
          </cell>
          <cell r="E35">
            <v>4043261.9596000002</v>
          </cell>
          <cell r="F35">
            <v>0.41909906828486598</v>
          </cell>
        </row>
        <row r="36">
          <cell r="A36" t="str">
            <v>Democratic Republic of Congo</v>
          </cell>
          <cell r="B36">
            <v>88696387.186800003</v>
          </cell>
          <cell r="C36">
            <v>148767247.2394</v>
          </cell>
          <cell r="D36">
            <v>57045272.093900003</v>
          </cell>
          <cell r="E36">
            <v>294508906.5201</v>
          </cell>
          <cell r="F36">
            <v>0.30116707923991598</v>
          </cell>
        </row>
        <row r="37">
          <cell r="A37" t="str">
            <v>Denmark</v>
          </cell>
          <cell r="B37">
            <v>7546091.4614000004</v>
          </cell>
          <cell r="C37">
            <v>9559986.8399</v>
          </cell>
          <cell r="D37">
            <v>-13938373.98</v>
          </cell>
          <cell r="E37">
            <v>3167704.3213</v>
          </cell>
          <cell r="F37">
            <v>2.382195652119182</v>
          </cell>
        </row>
        <row r="38">
          <cell r="A38" t="str">
            <v>Div. of Finance &amp; Admin Mgmt</v>
          </cell>
          <cell r="B38">
            <v>993217.93859999988</v>
          </cell>
          <cell r="C38">
            <v>8060634.6700999998</v>
          </cell>
          <cell r="D38">
            <v>-21700091.999699999</v>
          </cell>
          <cell r="E38">
            <v>-12646239.391000001</v>
          </cell>
          <cell r="F38">
            <v>-7.8538600123831903E-2</v>
          </cell>
        </row>
        <row r="39">
          <cell r="A39" t="str">
            <v>Division of People and Culture</v>
          </cell>
          <cell r="B39">
            <v>492584.17180000001</v>
          </cell>
          <cell r="C39"/>
          <cell r="D39">
            <v>-443710.1093999999</v>
          </cell>
          <cell r="E39">
            <v>48874.062400000112</v>
          </cell>
          <cell r="F39">
            <v>10.07864187283108</v>
          </cell>
        </row>
        <row r="40">
          <cell r="A40" t="str">
            <v>Djibouti</v>
          </cell>
          <cell r="B40">
            <v>2161066.0502999998</v>
          </cell>
          <cell r="C40">
            <v>5307183.3888999997</v>
          </cell>
          <cell r="D40">
            <v>1890404.0415000001</v>
          </cell>
          <cell r="E40">
            <v>9358653.4806999993</v>
          </cell>
          <cell r="F40">
            <v>0.23091634440325001</v>
          </cell>
        </row>
        <row r="41">
          <cell r="A41" t="str">
            <v>Dominican Republic</v>
          </cell>
          <cell r="B41">
            <v>3663417</v>
          </cell>
          <cell r="C41">
            <v>6542299.6501000002</v>
          </cell>
          <cell r="D41">
            <v>1401433.7313999999</v>
          </cell>
          <cell r="E41">
            <v>11607150.3815</v>
          </cell>
          <cell r="F41">
            <v>0.31561726001576701</v>
          </cell>
        </row>
        <row r="42">
          <cell r="A42" t="str">
            <v>DP Republic of Korea</v>
          </cell>
          <cell r="B42">
            <v>2736320.61</v>
          </cell>
          <cell r="C42">
            <v>2499240.4300000002</v>
          </cell>
          <cell r="D42">
            <v>2149829.1398</v>
          </cell>
          <cell r="E42">
            <v>7385390.1798</v>
          </cell>
          <cell r="F42">
            <v>0.37050454253374299</v>
          </cell>
        </row>
        <row r="43">
          <cell r="A43" t="str">
            <v>EAPRO, Thailand</v>
          </cell>
          <cell r="B43">
            <v>2805286.0586999999</v>
          </cell>
          <cell r="C43">
            <v>7831131.6393999998</v>
          </cell>
          <cell r="D43">
            <v>2234603.9097000002</v>
          </cell>
          <cell r="E43">
            <v>12871021.607799999</v>
          </cell>
          <cell r="F43">
            <v>0.217953643788459</v>
          </cell>
        </row>
        <row r="44">
          <cell r="A44" t="str">
            <v>ECARO, Switzerland</v>
          </cell>
          <cell r="B44">
            <v>49675009.8794</v>
          </cell>
          <cell r="C44">
            <v>11100540.380100001</v>
          </cell>
          <cell r="D44">
            <v>3880208.7988</v>
          </cell>
          <cell r="E44">
            <v>64655759.058300003</v>
          </cell>
          <cell r="F44">
            <v>0.76829984834928799</v>
          </cell>
        </row>
        <row r="45">
          <cell r="A45" t="str">
            <v>Ecuador</v>
          </cell>
          <cell r="B45">
            <v>4651345.7383000003</v>
          </cell>
          <cell r="C45">
            <v>6592040.7506999997</v>
          </cell>
          <cell r="D45">
            <v>928756.50990000018</v>
          </cell>
          <cell r="E45">
            <v>12172142.9989</v>
          </cell>
          <cell r="F45">
            <v>0.382130388931542</v>
          </cell>
        </row>
        <row r="46">
          <cell r="A46" t="str">
            <v>Egypt</v>
          </cell>
          <cell r="B46">
            <v>10148121.5425</v>
          </cell>
          <cell r="C46">
            <v>14192056.588099999</v>
          </cell>
          <cell r="D46">
            <v>4459009.1602999996</v>
          </cell>
          <cell r="E46">
            <v>28799187.290899999</v>
          </cell>
          <cell r="F46">
            <v>0.35237527503793897</v>
          </cell>
        </row>
        <row r="47">
          <cell r="A47" t="str">
            <v>El Salvador</v>
          </cell>
          <cell r="B47">
            <v>3273643.8102000002</v>
          </cell>
          <cell r="C47">
            <v>1874793.8600999999</v>
          </cell>
          <cell r="D47">
            <v>821540.18900000013</v>
          </cell>
          <cell r="E47">
            <v>5969977.8592999997</v>
          </cell>
          <cell r="F47">
            <v>0.54835108058237403</v>
          </cell>
        </row>
        <row r="48">
          <cell r="A48" t="str">
            <v>Equatorial Guinea</v>
          </cell>
          <cell r="B48">
            <v>1167499.57</v>
          </cell>
          <cell r="C48">
            <v>720518</v>
          </cell>
          <cell r="D48">
            <v>911938.80090000015</v>
          </cell>
          <cell r="E48">
            <v>2799956.3709</v>
          </cell>
          <cell r="F48">
            <v>0.41697062930474399</v>
          </cell>
        </row>
        <row r="49">
          <cell r="A49" t="str">
            <v>Eritrea</v>
          </cell>
          <cell r="B49">
            <v>3571588.3095999998</v>
          </cell>
          <cell r="C49">
            <v>6083373.9796000002</v>
          </cell>
          <cell r="D49">
            <v>2610314.8678000001</v>
          </cell>
          <cell r="E49">
            <v>12265277.157</v>
          </cell>
          <cell r="F49">
            <v>0.29119507564993202</v>
          </cell>
        </row>
        <row r="50">
          <cell r="A50" t="str">
            <v>ESARO, Kenya</v>
          </cell>
          <cell r="B50">
            <v>5128650.5811000001</v>
          </cell>
          <cell r="C50">
            <v>23752095.371800002</v>
          </cell>
          <cell r="D50">
            <v>3733904.3297999999</v>
          </cell>
          <cell r="E50">
            <v>32614650.282699998</v>
          </cell>
          <cell r="F50">
            <v>0.15724990262490801</v>
          </cell>
        </row>
        <row r="51">
          <cell r="A51" t="str">
            <v>Eswatini</v>
          </cell>
          <cell r="B51">
            <v>936850.0797</v>
          </cell>
          <cell r="C51">
            <v>2335026.4794000001</v>
          </cell>
          <cell r="D51">
            <v>1016460.4790000001</v>
          </cell>
          <cell r="E51">
            <v>4288337.0380999995</v>
          </cell>
          <cell r="F51">
            <v>0.21846465689998201</v>
          </cell>
        </row>
        <row r="52">
          <cell r="A52" t="str">
            <v>Ethics Office</v>
          </cell>
          <cell r="B52"/>
          <cell r="C52"/>
          <cell r="D52">
            <v>-3148.2599</v>
          </cell>
          <cell r="E52">
            <v>-3148.2599</v>
          </cell>
          <cell r="F52">
            <v>0</v>
          </cell>
        </row>
        <row r="53">
          <cell r="A53" t="str">
            <v>Ethiopia</v>
          </cell>
          <cell r="B53">
            <v>145716527.1925</v>
          </cell>
          <cell r="C53">
            <v>115443654.0696</v>
          </cell>
          <cell r="D53">
            <v>31849182.7311</v>
          </cell>
          <cell r="E53">
            <v>293009363.9932</v>
          </cell>
          <cell r="F53">
            <v>0.49731013782850197</v>
          </cell>
        </row>
        <row r="54">
          <cell r="A54" t="str">
            <v>Evaluation Office</v>
          </cell>
          <cell r="B54">
            <v>93328.43</v>
          </cell>
          <cell r="C54">
            <v>2307198.7178000002</v>
          </cell>
          <cell r="D54">
            <v>1816632.8095</v>
          </cell>
          <cell r="E54">
            <v>4217159.9572999999</v>
          </cell>
          <cell r="F54">
            <v>2.2130635533149801E-2</v>
          </cell>
        </row>
        <row r="55">
          <cell r="A55" t="str">
            <v>Executive Director's Office</v>
          </cell>
          <cell r="B55"/>
          <cell r="C55">
            <v>315152.93969999999</v>
          </cell>
          <cell r="D55">
            <v>-407762.0001</v>
          </cell>
          <cell r="E55">
            <v>-92609.060400000075</v>
          </cell>
          <cell r="F55">
            <v>0</v>
          </cell>
        </row>
        <row r="56">
          <cell r="A56" t="str">
            <v>Fiji</v>
          </cell>
          <cell r="B56">
            <v>14981022.479599999</v>
          </cell>
          <cell r="C56">
            <v>20702798.869899999</v>
          </cell>
          <cell r="D56">
            <v>12382546.107799999</v>
          </cell>
          <cell r="E56">
            <v>48066367.4573</v>
          </cell>
          <cell r="F56">
            <v>0.31167369768286501</v>
          </cell>
        </row>
        <row r="57">
          <cell r="A57" t="str">
            <v>Gabon</v>
          </cell>
          <cell r="B57">
            <v>1449291.03</v>
          </cell>
          <cell r="C57">
            <v>496419.08990000002</v>
          </cell>
          <cell r="D57">
            <v>1125554.1894</v>
          </cell>
          <cell r="E57">
            <v>3071264.3092999998</v>
          </cell>
          <cell r="F57">
            <v>0.47188743268088201</v>
          </cell>
        </row>
        <row r="58">
          <cell r="A58" t="str">
            <v>Gambia</v>
          </cell>
          <cell r="B58">
            <v>609202.74</v>
          </cell>
          <cell r="C58">
            <v>3480769.6406999999</v>
          </cell>
          <cell r="D58">
            <v>2055715.2905999999</v>
          </cell>
          <cell r="E58">
            <v>6145687.6712999996</v>
          </cell>
          <cell r="F58">
            <v>9.9126863027052398E-2</v>
          </cell>
        </row>
        <row r="59">
          <cell r="A59" t="str">
            <v>Geneva Common Services</v>
          </cell>
          <cell r="B59"/>
          <cell r="C59">
            <v>93002.569099999993</v>
          </cell>
          <cell r="D59">
            <v>-2742.8599999999992</v>
          </cell>
          <cell r="E59">
            <v>90259.709099999993</v>
          </cell>
          <cell r="F59">
            <v>0</v>
          </cell>
        </row>
        <row r="60">
          <cell r="A60" t="str">
            <v>Georgia</v>
          </cell>
          <cell r="B60">
            <v>477855.89999999979</v>
          </cell>
          <cell r="C60">
            <v>3733835.0902999998</v>
          </cell>
          <cell r="D60">
            <v>1174721.0700999999</v>
          </cell>
          <cell r="E60">
            <v>5386412.0603999998</v>
          </cell>
          <cell r="F60">
            <v>8.8715065732366899E-2</v>
          </cell>
        </row>
        <row r="61">
          <cell r="A61" t="str">
            <v>Ghana</v>
          </cell>
          <cell r="B61">
            <v>2187117.1102</v>
          </cell>
          <cell r="C61">
            <v>17025923.5088</v>
          </cell>
          <cell r="D61">
            <v>6862382.2307000002</v>
          </cell>
          <cell r="E61">
            <v>26075422.8497</v>
          </cell>
          <cell r="F61">
            <v>8.3876573078283306E-2</v>
          </cell>
        </row>
        <row r="62">
          <cell r="A62" t="str">
            <v>Global Communication &amp;Advocacy</v>
          </cell>
          <cell r="B62">
            <v>451882.96029999998</v>
          </cell>
          <cell r="C62">
            <v>5987660.2664999999</v>
          </cell>
          <cell r="D62">
            <v>7477035.7964000003</v>
          </cell>
          <cell r="E62">
            <v>13916579.0232</v>
          </cell>
          <cell r="F62">
            <v>3.2470836370538797E-2</v>
          </cell>
        </row>
        <row r="63">
          <cell r="A63" t="str">
            <v>Global Shared Services Centre</v>
          </cell>
          <cell r="B63"/>
          <cell r="C63"/>
          <cell r="D63">
            <v>-8974.0000999999975</v>
          </cell>
          <cell r="E63">
            <v>-8974.0000999999975</v>
          </cell>
          <cell r="F63">
            <v>0</v>
          </cell>
        </row>
        <row r="64">
          <cell r="A64" t="str">
            <v>Greece</v>
          </cell>
          <cell r="B64">
            <v>1287712.22</v>
          </cell>
          <cell r="C64">
            <v>14674237.379799999</v>
          </cell>
          <cell r="D64">
            <v>572512.16059999994</v>
          </cell>
          <cell r="E64">
            <v>16534461.760399999</v>
          </cell>
          <cell r="F64">
            <v>7.7880504286149094E-2</v>
          </cell>
        </row>
        <row r="65">
          <cell r="A65" t="str">
            <v>Guatemala</v>
          </cell>
          <cell r="B65">
            <v>4046619.2179999999</v>
          </cell>
          <cell r="C65">
            <v>10559540.1609</v>
          </cell>
          <cell r="D65">
            <v>1368772.3078999999</v>
          </cell>
          <cell r="E65">
            <v>15974931.686799999</v>
          </cell>
          <cell r="F65">
            <v>0.25331058043545202</v>
          </cell>
        </row>
        <row r="66">
          <cell r="A66" t="str">
            <v>Guinea</v>
          </cell>
          <cell r="B66">
            <v>3226123.74</v>
          </cell>
          <cell r="C66">
            <v>12676216.390900001</v>
          </cell>
          <cell r="D66">
            <v>11400305.6033</v>
          </cell>
          <cell r="E66">
            <v>27302645.734200001</v>
          </cell>
          <cell r="F66">
            <v>0.11816157933584</v>
          </cell>
        </row>
        <row r="67">
          <cell r="A67" t="str">
            <v>Guinea Bissau</v>
          </cell>
          <cell r="B67">
            <v>1212053.19</v>
          </cell>
          <cell r="C67">
            <v>5580362.3208999997</v>
          </cell>
          <cell r="D67">
            <v>2524627.2799</v>
          </cell>
          <cell r="E67">
            <v>9317042.7907999996</v>
          </cell>
          <cell r="F67">
            <v>0.13008990268852599</v>
          </cell>
        </row>
        <row r="68">
          <cell r="A68" t="str">
            <v>Guyana</v>
          </cell>
          <cell r="B68">
            <v>839718.30990000011</v>
          </cell>
          <cell r="C68">
            <v>993138.58950000023</v>
          </cell>
          <cell r="D68">
            <v>2008513.7779000001</v>
          </cell>
          <cell r="E68">
            <v>3841370.6773000001</v>
          </cell>
          <cell r="F68">
            <v>0.21859861503660399</v>
          </cell>
        </row>
        <row r="69">
          <cell r="A69" t="str">
            <v>Haiti</v>
          </cell>
          <cell r="B69">
            <v>32972259.164999999</v>
          </cell>
          <cell r="C69">
            <v>15862355.4279</v>
          </cell>
          <cell r="D69">
            <v>11266866.3226</v>
          </cell>
          <cell r="E69">
            <v>60101480.9155</v>
          </cell>
          <cell r="F69">
            <v>0.54860976240098802</v>
          </cell>
        </row>
        <row r="70">
          <cell r="A70" t="str">
            <v>Honduras</v>
          </cell>
          <cell r="B70">
            <v>8167824.6292000003</v>
          </cell>
          <cell r="C70">
            <v>2874534.5899</v>
          </cell>
          <cell r="D70">
            <v>1324067.2209999999</v>
          </cell>
          <cell r="E70">
            <v>12366426.440099999</v>
          </cell>
          <cell r="F70">
            <v>0.66048382439041498</v>
          </cell>
        </row>
        <row r="71">
          <cell r="A71" t="str">
            <v>India</v>
          </cell>
          <cell r="B71">
            <v>3784763.8297999999</v>
          </cell>
          <cell r="C71">
            <v>49440442.627800003</v>
          </cell>
          <cell r="D71">
            <v>40718708.652099997</v>
          </cell>
          <cell r="E71">
            <v>93943915.109699994</v>
          </cell>
          <cell r="F71">
            <v>4.0287482434391397E-2</v>
          </cell>
        </row>
        <row r="72">
          <cell r="A72" t="str">
            <v>Indonesia</v>
          </cell>
          <cell r="B72">
            <v>8040850.5088999998</v>
          </cell>
          <cell r="C72">
            <v>19439203.468499999</v>
          </cell>
          <cell r="D72">
            <v>5392781.4402999999</v>
          </cell>
          <cell r="E72">
            <v>32872835.4177</v>
          </cell>
          <cell r="F72">
            <v>0.24460471409687101</v>
          </cell>
        </row>
        <row r="73">
          <cell r="A73" t="str">
            <v>Info &amp; Comm Technology Div</v>
          </cell>
          <cell r="B73">
            <v>107285.44</v>
          </cell>
          <cell r="C73">
            <v>351804.02990000008</v>
          </cell>
          <cell r="D73">
            <v>-57057.419900000023</v>
          </cell>
          <cell r="E73">
            <v>402032.0500000001</v>
          </cell>
          <cell r="F73">
            <v>0.26685792836665601</v>
          </cell>
        </row>
        <row r="74">
          <cell r="A74" t="str">
            <v>Innocenti-GORaf</v>
          </cell>
          <cell r="B74">
            <v>199486.31950000001</v>
          </cell>
          <cell r="C74">
            <v>8601108.4572999999</v>
          </cell>
          <cell r="D74">
            <v>4394849.6118000001</v>
          </cell>
          <cell r="E74">
            <v>13195444.388599999</v>
          </cell>
          <cell r="F74">
            <v>1.51178174546621E-2</v>
          </cell>
        </row>
        <row r="75">
          <cell r="A75" t="str">
            <v>Int. Audit &amp; Invest (OIAI)</v>
          </cell>
          <cell r="B75"/>
          <cell r="C75">
            <v>124018.22010000001</v>
          </cell>
          <cell r="D75">
            <v>-39515.150199999996</v>
          </cell>
          <cell r="E75">
            <v>84503.069900000031</v>
          </cell>
          <cell r="F75">
            <v>0</v>
          </cell>
        </row>
        <row r="76">
          <cell r="A76" t="str">
            <v>Iran</v>
          </cell>
          <cell r="B76">
            <v>4310356.8086999999</v>
          </cell>
          <cell r="C76">
            <v>1524818.9789</v>
          </cell>
          <cell r="D76">
            <v>1601896.6303999999</v>
          </cell>
          <cell r="E76">
            <v>7437072.4179999996</v>
          </cell>
          <cell r="F76">
            <v>0.57957709249510803</v>
          </cell>
        </row>
        <row r="77">
          <cell r="A77" t="str">
            <v>Iraq</v>
          </cell>
          <cell r="B77">
            <v>11666405.391000001</v>
          </cell>
          <cell r="C77">
            <v>34485666.896200001</v>
          </cell>
          <cell r="D77">
            <v>2411719.3509999998</v>
          </cell>
          <cell r="E77">
            <v>48563791.6382</v>
          </cell>
          <cell r="F77">
            <v>0.24022847058390001</v>
          </cell>
        </row>
        <row r="78">
          <cell r="A78" t="str">
            <v>Jamaica</v>
          </cell>
          <cell r="B78">
            <v>92249.51999999999</v>
          </cell>
          <cell r="C78">
            <v>1728899.6995000001</v>
          </cell>
          <cell r="D78">
            <v>941641.64939999988</v>
          </cell>
          <cell r="E78">
            <v>2762790.8689000001</v>
          </cell>
          <cell r="F78">
            <v>3.3389975708414399E-2</v>
          </cell>
        </row>
        <row r="79">
          <cell r="A79" t="str">
            <v>Jordan</v>
          </cell>
          <cell r="B79">
            <v>28022784.640000001</v>
          </cell>
          <cell r="C79">
            <v>33737055.547200002</v>
          </cell>
          <cell r="D79">
            <v>2909085.6598</v>
          </cell>
          <cell r="E79">
            <v>64668925.847000003</v>
          </cell>
          <cell r="F79">
            <v>0.43332689190321499</v>
          </cell>
        </row>
        <row r="80">
          <cell r="A80" t="str">
            <v>Kazakhstan</v>
          </cell>
          <cell r="B80">
            <v>161093.15</v>
          </cell>
          <cell r="C80">
            <v>1825578.2701000001</v>
          </cell>
          <cell r="D80">
            <v>1382864.3599</v>
          </cell>
          <cell r="E80">
            <v>3369535.78</v>
          </cell>
          <cell r="F80">
            <v>4.7808707346624402E-2</v>
          </cell>
        </row>
        <row r="81">
          <cell r="A81" t="str">
            <v>Kenya</v>
          </cell>
          <cell r="B81">
            <v>30880749.860599998</v>
          </cell>
          <cell r="C81">
            <v>39682247.589900002</v>
          </cell>
          <cell r="D81">
            <v>13433119.839299999</v>
          </cell>
          <cell r="E81">
            <v>83996117.289800003</v>
          </cell>
          <cell r="F81">
            <v>0.36764496808890001</v>
          </cell>
        </row>
        <row r="82">
          <cell r="A82" t="str">
            <v>Kosovo (UN SC resolution 1244)</v>
          </cell>
          <cell r="B82">
            <v>86830.020099999994</v>
          </cell>
          <cell r="C82">
            <v>3476423.3506999998</v>
          </cell>
          <cell r="D82">
            <v>985117.36100000003</v>
          </cell>
          <cell r="E82">
            <v>4548370.7318000002</v>
          </cell>
          <cell r="F82">
            <v>1.9090356793681401E-2</v>
          </cell>
        </row>
        <row r="83">
          <cell r="A83" t="str">
            <v>LACRO, Panama</v>
          </cell>
          <cell r="B83">
            <v>4433161.1530999998</v>
          </cell>
          <cell r="C83">
            <v>5428604.2900999999</v>
          </cell>
          <cell r="D83">
            <v>1212119.4709999999</v>
          </cell>
          <cell r="E83">
            <v>11073884.9142</v>
          </cell>
          <cell r="F83">
            <v>0.40032573820731798</v>
          </cell>
        </row>
        <row r="84">
          <cell r="A84" t="str">
            <v>Lao People's Dem Rep.</v>
          </cell>
          <cell r="B84">
            <v>3018900.8297000001</v>
          </cell>
          <cell r="C84">
            <v>13910867.3485</v>
          </cell>
          <cell r="D84">
            <v>2363427.7398999999</v>
          </cell>
          <cell r="E84">
            <v>19293195.918099999</v>
          </cell>
          <cell r="F84">
            <v>0.156474896254373</v>
          </cell>
        </row>
        <row r="85">
          <cell r="A85" t="str">
            <v>Lebanon</v>
          </cell>
          <cell r="B85">
            <v>90391487.731099993</v>
          </cell>
          <cell r="C85">
            <v>211637182.21790001</v>
          </cell>
          <cell r="D85">
            <v>5082910.7286</v>
          </cell>
          <cell r="E85">
            <v>307111580.67760003</v>
          </cell>
          <cell r="F85">
            <v>0.29432783853889</v>
          </cell>
        </row>
        <row r="86">
          <cell r="A86" t="str">
            <v>Lesotho</v>
          </cell>
          <cell r="B86">
            <v>2464099.8700999999</v>
          </cell>
          <cell r="C86">
            <v>2902716.26</v>
          </cell>
          <cell r="D86">
            <v>1882009.3299</v>
          </cell>
          <cell r="E86">
            <v>7248825.46</v>
          </cell>
          <cell r="F86">
            <v>0.33993091483540799</v>
          </cell>
        </row>
        <row r="87">
          <cell r="A87" t="str">
            <v>Liberia</v>
          </cell>
          <cell r="B87">
            <v>3258080.4906000001</v>
          </cell>
          <cell r="C87">
            <v>5474555.7105999999</v>
          </cell>
          <cell r="D87">
            <v>6294570.4939000001</v>
          </cell>
          <cell r="E87">
            <v>15027206.6951</v>
          </cell>
          <cell r="F87">
            <v>0.216812116629924</v>
          </cell>
        </row>
        <row r="88">
          <cell r="A88" t="str">
            <v>Libya</v>
          </cell>
          <cell r="B88">
            <v>16976653.030299999</v>
          </cell>
          <cell r="C88">
            <v>13153979.3496</v>
          </cell>
          <cell r="D88">
            <v>214623.34910000011</v>
          </cell>
          <cell r="E88">
            <v>30345255.728999998</v>
          </cell>
          <cell r="F88">
            <v>0.55944999053265398</v>
          </cell>
        </row>
        <row r="89">
          <cell r="A89" t="str">
            <v>Madagascar</v>
          </cell>
          <cell r="B89">
            <v>15474007.658500001</v>
          </cell>
          <cell r="C89">
            <v>33936006.593699999</v>
          </cell>
          <cell r="D89">
            <v>14809481.875700001</v>
          </cell>
          <cell r="E89">
            <v>64219496.127899997</v>
          </cell>
          <cell r="F89">
            <v>0.24095498394571399</v>
          </cell>
        </row>
        <row r="90">
          <cell r="A90" t="str">
            <v>Malawi</v>
          </cell>
          <cell r="B90">
            <v>17444999.449999999</v>
          </cell>
          <cell r="C90">
            <v>32361204.3367</v>
          </cell>
          <cell r="D90">
            <v>9729879.0866</v>
          </cell>
          <cell r="E90">
            <v>59536082.873300001</v>
          </cell>
          <cell r="F90">
            <v>0.293015573213392</v>
          </cell>
        </row>
        <row r="91">
          <cell r="A91" t="str">
            <v>Malaysia</v>
          </cell>
          <cell r="B91">
            <v>1872.8998999999999</v>
          </cell>
          <cell r="C91">
            <v>5943949.6491</v>
          </cell>
          <cell r="D91">
            <v>1055587.1993</v>
          </cell>
          <cell r="E91">
            <v>7001409.7483000001</v>
          </cell>
          <cell r="F91">
            <v>2.67503255391495E-4</v>
          </cell>
        </row>
        <row r="92">
          <cell r="A92" t="str">
            <v>Maldives</v>
          </cell>
          <cell r="B92">
            <v>-73635.740000000034</v>
          </cell>
          <cell r="C92">
            <v>788834.61960000009</v>
          </cell>
          <cell r="D92">
            <v>1266114.9993</v>
          </cell>
          <cell r="E92">
            <v>1981313.8788999999</v>
          </cell>
          <cell r="F92">
            <v>-3.71651058341557E-2</v>
          </cell>
        </row>
        <row r="93">
          <cell r="A93" t="str">
            <v>Mali</v>
          </cell>
          <cell r="B93">
            <v>20338411.659200002</v>
          </cell>
          <cell r="C93">
            <v>53898310.900200002</v>
          </cell>
          <cell r="D93">
            <v>26419010.637400001</v>
          </cell>
          <cell r="E93">
            <v>100655733.19679999</v>
          </cell>
          <cell r="F93">
            <v>0.202059147683468</v>
          </cell>
        </row>
        <row r="94">
          <cell r="A94" t="str">
            <v>Mauritania</v>
          </cell>
          <cell r="B94">
            <v>1693981.5303</v>
          </cell>
          <cell r="C94">
            <v>16466962.367799999</v>
          </cell>
          <cell r="D94">
            <v>2480701.929</v>
          </cell>
          <cell r="E94">
            <v>20641645.827100001</v>
          </cell>
          <cell r="F94">
            <v>8.2066204627733993E-2</v>
          </cell>
        </row>
        <row r="95">
          <cell r="A95" t="str">
            <v>MENARO, Jordan</v>
          </cell>
          <cell r="B95">
            <v>33929393.843999997</v>
          </cell>
          <cell r="C95">
            <v>15491213.6719</v>
          </cell>
          <cell r="D95">
            <v>2944934.0901000001</v>
          </cell>
          <cell r="E95">
            <v>52365541.605999999</v>
          </cell>
          <cell r="F95">
            <v>0.64793359914590098</v>
          </cell>
        </row>
        <row r="96">
          <cell r="A96" t="str">
            <v>Mexico</v>
          </cell>
          <cell r="B96">
            <v>16519080.2239</v>
          </cell>
          <cell r="C96">
            <v>13461802.6292</v>
          </cell>
          <cell r="D96">
            <v>731184.07010000001</v>
          </cell>
          <cell r="E96">
            <v>30712066.9232</v>
          </cell>
          <cell r="F96">
            <v>0.53786937444517702</v>
          </cell>
        </row>
        <row r="97">
          <cell r="A97" t="str">
            <v>Moldova</v>
          </cell>
          <cell r="B97">
            <v>21718972.269699998</v>
          </cell>
          <cell r="C97">
            <v>4085021.3105000001</v>
          </cell>
          <cell r="D97">
            <v>1210922.5877</v>
          </cell>
          <cell r="E97">
            <v>27014916.1679</v>
          </cell>
          <cell r="F97">
            <v>0.80396223089180596</v>
          </cell>
        </row>
        <row r="98">
          <cell r="A98" t="str">
            <v>Mongolia</v>
          </cell>
          <cell r="B98">
            <v>3279185.8596999999</v>
          </cell>
          <cell r="C98">
            <v>6533831.2396999998</v>
          </cell>
          <cell r="D98">
            <v>750629.16030000011</v>
          </cell>
          <cell r="E98">
            <v>10563646.2597</v>
          </cell>
          <cell r="F98">
            <v>0.31042177853020297</v>
          </cell>
        </row>
        <row r="99">
          <cell r="A99" t="str">
            <v>Morocco</v>
          </cell>
          <cell r="B99">
            <v>1303662.0903</v>
          </cell>
          <cell r="C99">
            <v>5512055.4601999996</v>
          </cell>
          <cell r="D99">
            <v>2447480.7297</v>
          </cell>
          <cell r="E99">
            <v>9263198.2802000009</v>
          </cell>
          <cell r="F99">
            <v>0.14073563480623799</v>
          </cell>
        </row>
        <row r="100">
          <cell r="A100" t="str">
            <v>Myanmar</v>
          </cell>
          <cell r="B100">
            <v>27083452.916099999</v>
          </cell>
          <cell r="C100">
            <v>27240331.610800002</v>
          </cell>
          <cell r="D100">
            <v>13603916.920499999</v>
          </cell>
          <cell r="E100">
            <v>67927701.447400004</v>
          </cell>
          <cell r="F100">
            <v>0.39870998633852101</v>
          </cell>
        </row>
        <row r="101">
          <cell r="A101" t="str">
            <v>Namibia</v>
          </cell>
          <cell r="B101">
            <v>959493.75989999995</v>
          </cell>
          <cell r="C101">
            <v>2018900.5098999999</v>
          </cell>
          <cell r="D101">
            <v>1213419.9312</v>
          </cell>
          <cell r="E101">
            <v>4191814.2009999999</v>
          </cell>
          <cell r="F101">
            <v>0.22889701544288499</v>
          </cell>
        </row>
        <row r="102">
          <cell r="A102" t="str">
            <v>Nepal</v>
          </cell>
          <cell r="B102">
            <v>3763635.4594000001</v>
          </cell>
          <cell r="C102">
            <v>14141344.629899999</v>
          </cell>
          <cell r="D102">
            <v>6153070.3207999999</v>
          </cell>
          <cell r="E102">
            <v>24058050.410100002</v>
          </cell>
          <cell r="F102">
            <v>0.15643975281637801</v>
          </cell>
        </row>
        <row r="103">
          <cell r="A103" t="str">
            <v>Nicaragua</v>
          </cell>
          <cell r="B103">
            <v>795307.33039999998</v>
          </cell>
          <cell r="C103">
            <v>1093314.5497999999</v>
          </cell>
          <cell r="D103">
            <v>918240.04079999996</v>
          </cell>
          <cell r="E103">
            <v>2806861.9210000001</v>
          </cell>
          <cell r="F103">
            <v>0.28334394522572598</v>
          </cell>
        </row>
        <row r="104">
          <cell r="A104" t="str">
            <v>Niger</v>
          </cell>
          <cell r="B104">
            <v>11846027.5101</v>
          </cell>
          <cell r="C104">
            <v>56720260.722900003</v>
          </cell>
          <cell r="D104">
            <v>24176321.040399998</v>
          </cell>
          <cell r="E104">
            <v>92742609.273399994</v>
          </cell>
          <cell r="F104">
            <v>0.12773015125311599</v>
          </cell>
        </row>
        <row r="105">
          <cell r="A105" t="str">
            <v>Nigeria</v>
          </cell>
          <cell r="B105">
            <v>56731526.730300002</v>
          </cell>
          <cell r="C105">
            <v>103813286.97830001</v>
          </cell>
          <cell r="D105">
            <v>43219075.958800003</v>
          </cell>
          <cell r="E105">
            <v>203763889.6674</v>
          </cell>
          <cell r="F105">
            <v>0.27841796121433399</v>
          </cell>
        </row>
        <row r="106">
          <cell r="A106" t="str">
            <v>North Macedonia</v>
          </cell>
          <cell r="B106"/>
          <cell r="C106">
            <v>1315841.4399000001</v>
          </cell>
          <cell r="D106">
            <v>1078681.139</v>
          </cell>
          <cell r="E106">
            <v>2394522.5789000001</v>
          </cell>
          <cell r="F106">
            <v>0</v>
          </cell>
        </row>
        <row r="107">
          <cell r="A107" t="str">
            <v>Off of Global Insight &amp; Policy</v>
          </cell>
          <cell r="B107"/>
          <cell r="C107"/>
          <cell r="D107">
            <v>-29649.999700000011</v>
          </cell>
          <cell r="E107">
            <v>-29649.999700000011</v>
          </cell>
          <cell r="F107">
            <v>0</v>
          </cell>
        </row>
        <row r="108">
          <cell r="A108" t="str">
            <v>Office of Emergency Prog.</v>
          </cell>
          <cell r="B108">
            <v>23911749.3127</v>
          </cell>
          <cell r="C108">
            <v>1240033.1973999999</v>
          </cell>
          <cell r="D108">
            <v>976523.29</v>
          </cell>
          <cell r="E108">
            <v>26128305.800099999</v>
          </cell>
          <cell r="F108">
            <v>0.91516646718856498</v>
          </cell>
        </row>
        <row r="109">
          <cell r="A109" t="str">
            <v>Office of Innovation</v>
          </cell>
          <cell r="B109"/>
          <cell r="C109">
            <v>29278233.704399999</v>
          </cell>
          <cell r="D109">
            <v>911788.65050000011</v>
          </cell>
          <cell r="E109">
            <v>30190022.354899999</v>
          </cell>
          <cell r="F109">
            <v>0</v>
          </cell>
        </row>
        <row r="110">
          <cell r="A110" t="str">
            <v>Oman</v>
          </cell>
          <cell r="B110"/>
          <cell r="C110">
            <v>1022662.1096</v>
          </cell>
          <cell r="D110">
            <v>140419.95989999999</v>
          </cell>
          <cell r="E110">
            <v>1163082.0695</v>
          </cell>
          <cell r="F110">
            <v>0</v>
          </cell>
        </row>
        <row r="111">
          <cell r="A111" t="str">
            <v>OSEB</v>
          </cell>
          <cell r="B111"/>
          <cell r="C111"/>
          <cell r="D111">
            <v>6826.1199999999981</v>
          </cell>
          <cell r="E111">
            <v>6826.1199999999981</v>
          </cell>
          <cell r="F111">
            <v>0</v>
          </cell>
        </row>
        <row r="112">
          <cell r="A112" t="str">
            <v>Pakistan</v>
          </cell>
          <cell r="B112">
            <v>47486130.900799997</v>
          </cell>
          <cell r="C112">
            <v>105412649.9693</v>
          </cell>
          <cell r="D112">
            <v>44323341.762599997</v>
          </cell>
          <cell r="E112">
            <v>197222122.6327</v>
          </cell>
          <cell r="F112">
            <v>0.24077486981131699</v>
          </cell>
        </row>
        <row r="113">
          <cell r="A113" t="str">
            <v>Palestine, State of</v>
          </cell>
          <cell r="B113">
            <v>146534572.39629999</v>
          </cell>
          <cell r="C113">
            <v>17472962.2392</v>
          </cell>
          <cell r="D113">
            <v>3488593.1995000001</v>
          </cell>
          <cell r="E113">
            <v>167496127.83500001</v>
          </cell>
          <cell r="F113">
            <v>0.87485349237834797</v>
          </cell>
        </row>
        <row r="114">
          <cell r="A114" t="str">
            <v>Panama</v>
          </cell>
          <cell r="B114">
            <v>6293386.1100000003</v>
          </cell>
          <cell r="C114">
            <v>1199950.1089999999</v>
          </cell>
          <cell r="D114">
            <v>865504.34030000004</v>
          </cell>
          <cell r="E114">
            <v>8358840.5592999998</v>
          </cell>
          <cell r="F114">
            <v>0.75290180083624303</v>
          </cell>
        </row>
        <row r="115">
          <cell r="A115" t="str">
            <v>Papua New Guinea</v>
          </cell>
          <cell r="B115">
            <v>3334596.9511000002</v>
          </cell>
          <cell r="C115">
            <v>11612296.260500001</v>
          </cell>
          <cell r="D115">
            <v>2074151.0412000001</v>
          </cell>
          <cell r="E115">
            <v>17021044.252799999</v>
          </cell>
          <cell r="F115">
            <v>0.195910245080965</v>
          </cell>
        </row>
        <row r="116">
          <cell r="A116" t="str">
            <v>Paraguay</v>
          </cell>
          <cell r="B116">
            <v>-19299.479700000011</v>
          </cell>
          <cell r="C116">
            <v>2014847.4297</v>
          </cell>
          <cell r="D116">
            <v>1029649.7299</v>
          </cell>
          <cell r="E116">
            <v>3025197.6798999999</v>
          </cell>
          <cell r="F116">
            <v>-6.37957639205844E-3</v>
          </cell>
        </row>
        <row r="117">
          <cell r="A117" t="str">
            <v>Peru</v>
          </cell>
          <cell r="B117">
            <v>4677103.1804999998</v>
          </cell>
          <cell r="C117">
            <v>6573870.5405999999</v>
          </cell>
          <cell r="D117">
            <v>1291573.7815</v>
          </cell>
          <cell r="E117">
            <v>12542547.502599999</v>
          </cell>
          <cell r="F117">
            <v>0.37289898081154998</v>
          </cell>
        </row>
        <row r="118">
          <cell r="A118" t="str">
            <v>Philippines</v>
          </cell>
          <cell r="B118">
            <v>6817441.6008000001</v>
          </cell>
          <cell r="C118">
            <v>19701442.930799998</v>
          </cell>
          <cell r="D118">
            <v>3743348.5695000002</v>
          </cell>
          <cell r="E118">
            <v>30262233.101100001</v>
          </cell>
          <cell r="F118">
            <v>0.22527886749217499</v>
          </cell>
        </row>
        <row r="119">
          <cell r="A119" t="str">
            <v>Poland</v>
          </cell>
          <cell r="B119">
            <v>28671608.219799999</v>
          </cell>
          <cell r="C119">
            <v>823602.04</v>
          </cell>
          <cell r="D119">
            <v>925670.48030000017</v>
          </cell>
          <cell r="E119">
            <v>30420880.7401</v>
          </cell>
          <cell r="F119">
            <v>0.94249763722343005</v>
          </cell>
        </row>
        <row r="120">
          <cell r="A120" t="str">
            <v>Programme Division</v>
          </cell>
          <cell r="B120">
            <v>29183671.7711</v>
          </cell>
          <cell r="C120">
            <v>173539043.5289</v>
          </cell>
          <cell r="D120">
            <v>19410359.383699998</v>
          </cell>
          <cell r="E120">
            <v>222133074.6837</v>
          </cell>
          <cell r="F120">
            <v>0.131379227576331</v>
          </cell>
        </row>
        <row r="121">
          <cell r="A121" t="str">
            <v>Public Partnerships Division</v>
          </cell>
          <cell r="B121">
            <v>28175.189699999999</v>
          </cell>
          <cell r="C121">
            <v>455950.84950000001</v>
          </cell>
          <cell r="D121">
            <v>1823343.4016</v>
          </cell>
          <cell r="E121">
            <v>2307469.4408</v>
          </cell>
          <cell r="F121">
            <v>1.22104281000712E-2</v>
          </cell>
        </row>
        <row r="122">
          <cell r="A122" t="str">
            <v>Rep of Uzbekistan</v>
          </cell>
          <cell r="B122">
            <v>2730063.1296000001</v>
          </cell>
          <cell r="C122">
            <v>4627158.58</v>
          </cell>
          <cell r="D122">
            <v>3258460.5576999998</v>
          </cell>
          <cell r="E122">
            <v>10615682.2673</v>
          </cell>
          <cell r="F122">
            <v>0.257172648997752</v>
          </cell>
        </row>
        <row r="123">
          <cell r="A123" t="str">
            <v>Republic of Cameroon</v>
          </cell>
          <cell r="B123">
            <v>12303796.838199999</v>
          </cell>
          <cell r="C123">
            <v>25705302.221900001</v>
          </cell>
          <cell r="D123">
            <v>15460913.9737</v>
          </cell>
          <cell r="E123">
            <v>53470013.033799998</v>
          </cell>
          <cell r="F123">
            <v>0.230106486610026</v>
          </cell>
        </row>
        <row r="124">
          <cell r="A124" t="str">
            <v>Republic of Kyrgyzstan</v>
          </cell>
          <cell r="B124">
            <v>2180441.0299</v>
          </cell>
          <cell r="C124">
            <v>4699822.5791999996</v>
          </cell>
          <cell r="D124">
            <v>1749831.1514000001</v>
          </cell>
          <cell r="E124">
            <v>8630094.7605000008</v>
          </cell>
          <cell r="F124">
            <v>0.25265551426849803</v>
          </cell>
        </row>
        <row r="125">
          <cell r="A125" t="str">
            <v>Republic of Montenegro</v>
          </cell>
          <cell r="B125">
            <v>387584.93959999998</v>
          </cell>
          <cell r="C125">
            <v>1329250.8995000001</v>
          </cell>
          <cell r="D125">
            <v>777494.97939999995</v>
          </cell>
          <cell r="E125">
            <v>2494330.8185000001</v>
          </cell>
          <cell r="F125">
            <v>0.155386341188327</v>
          </cell>
        </row>
        <row r="126">
          <cell r="A126" t="str">
            <v>Republic of Mozambique</v>
          </cell>
          <cell r="B126">
            <v>34486816.034599997</v>
          </cell>
          <cell r="C126">
            <v>63301505.5066</v>
          </cell>
          <cell r="D126">
            <v>26840606.227000002</v>
          </cell>
          <cell r="E126">
            <v>124628927.7682</v>
          </cell>
          <cell r="F126">
            <v>0.27671598121058</v>
          </cell>
        </row>
        <row r="127">
          <cell r="A127" t="str">
            <v>Romania</v>
          </cell>
          <cell r="B127">
            <v>8782000.1900999993</v>
          </cell>
          <cell r="C127">
            <v>5538455.8201000001</v>
          </cell>
          <cell r="D127">
            <v>1016551.2898</v>
          </cell>
          <cell r="E127">
            <v>15337007.300000001</v>
          </cell>
          <cell r="F127">
            <v>0.57260194367254402</v>
          </cell>
        </row>
        <row r="128">
          <cell r="A128" t="str">
            <v>ROSA, Nepal</v>
          </cell>
          <cell r="B128">
            <v>2420389.7396999998</v>
          </cell>
          <cell r="C128">
            <v>5526235.5</v>
          </cell>
          <cell r="D128">
            <v>2440048.9586999998</v>
          </cell>
          <cell r="E128">
            <v>10386674.1984</v>
          </cell>
          <cell r="F128">
            <v>0.233028368221355</v>
          </cell>
        </row>
        <row r="129">
          <cell r="A129" t="str">
            <v>Rwanda</v>
          </cell>
          <cell r="B129">
            <v>2275709.139</v>
          </cell>
          <cell r="C129">
            <v>28608710.1906</v>
          </cell>
          <cell r="D129">
            <v>5419104.9002999999</v>
          </cell>
          <cell r="E129">
            <v>36303524.229900002</v>
          </cell>
          <cell r="F129">
            <v>6.2685625907517195E-2</v>
          </cell>
        </row>
        <row r="130">
          <cell r="A130" t="str">
            <v>Sao Tome &amp; Principe</v>
          </cell>
          <cell r="B130">
            <v>193411.9999</v>
          </cell>
          <cell r="C130">
            <v>1510396.5201000001</v>
          </cell>
          <cell r="D130">
            <v>999830.79949999996</v>
          </cell>
          <cell r="E130">
            <v>2703639.3195000002</v>
          </cell>
          <cell r="F130">
            <v>7.1537648718531299E-2</v>
          </cell>
        </row>
        <row r="131">
          <cell r="A131" t="str">
            <v>Saudi Arabia</v>
          </cell>
          <cell r="B131">
            <v>38.4</v>
          </cell>
          <cell r="C131">
            <v>2346582.4197999998</v>
          </cell>
          <cell r="D131">
            <v>857135.89980000001</v>
          </cell>
          <cell r="E131">
            <v>3203756.7196</v>
          </cell>
          <cell r="F131">
            <v>1.19859288207109E-5</v>
          </cell>
        </row>
        <row r="132">
          <cell r="A132" t="str">
            <v>Senegal</v>
          </cell>
          <cell r="B132">
            <v>1705635.7797000001</v>
          </cell>
          <cell r="C132">
            <v>11483450.091800001</v>
          </cell>
          <cell r="D132">
            <v>5687269.5893000001</v>
          </cell>
          <cell r="E132">
            <v>18876355.4608</v>
          </cell>
          <cell r="F132">
            <v>9.0358320664285299E-2</v>
          </cell>
        </row>
        <row r="133">
          <cell r="A133" t="str">
            <v>Serbia</v>
          </cell>
          <cell r="B133">
            <v>527065.87959999999</v>
          </cell>
          <cell r="C133">
            <v>4966649.3002000004</v>
          </cell>
          <cell r="D133">
            <v>790792.52039999992</v>
          </cell>
          <cell r="E133">
            <v>6284507.7001999998</v>
          </cell>
          <cell r="F133">
            <v>8.3867488870007501E-2</v>
          </cell>
        </row>
        <row r="134">
          <cell r="A134" t="str">
            <v>Sierra Leone</v>
          </cell>
          <cell r="B134">
            <v>5858055.9704</v>
          </cell>
          <cell r="C134">
            <v>26248346.959199999</v>
          </cell>
          <cell r="D134">
            <v>12027586.7981</v>
          </cell>
          <cell r="E134">
            <v>44133989.727700002</v>
          </cell>
          <cell r="F134">
            <v>0.13273343304204599</v>
          </cell>
        </row>
        <row r="135">
          <cell r="A135" t="str">
            <v>Somalia</v>
          </cell>
          <cell r="B135">
            <v>93937300.610499993</v>
          </cell>
          <cell r="C135">
            <v>97321100.532000005</v>
          </cell>
          <cell r="D135">
            <v>23005957.111699998</v>
          </cell>
          <cell r="E135">
            <v>214264358.25420001</v>
          </cell>
          <cell r="F135">
            <v>0.43841776287894901</v>
          </cell>
        </row>
        <row r="136">
          <cell r="A136" t="str">
            <v>South Africa</v>
          </cell>
          <cell r="B136">
            <v>1519832.8197000001</v>
          </cell>
          <cell r="C136">
            <v>11543247.349400001</v>
          </cell>
          <cell r="D136">
            <v>1431126.5799</v>
          </cell>
          <cell r="E136">
            <v>14494206.749</v>
          </cell>
          <cell r="F136">
            <v>0.104857950905444</v>
          </cell>
        </row>
        <row r="137">
          <cell r="A137" t="str">
            <v>South Sudan</v>
          </cell>
          <cell r="B137">
            <v>72913216.691200003</v>
          </cell>
          <cell r="C137">
            <v>168770127.33129999</v>
          </cell>
          <cell r="D137">
            <v>10925857.7037</v>
          </cell>
          <cell r="E137">
            <v>252609201.72620001</v>
          </cell>
          <cell r="F137">
            <v>0.28864038282433502</v>
          </cell>
        </row>
        <row r="138">
          <cell r="A138" t="str">
            <v>Sri Lanka</v>
          </cell>
          <cell r="B138">
            <v>12003978.289899999</v>
          </cell>
          <cell r="C138">
            <v>4617048.97</v>
          </cell>
          <cell r="D138">
            <v>1419601.2490000001</v>
          </cell>
          <cell r="E138">
            <v>18040628.508900002</v>
          </cell>
          <cell r="F138">
            <v>0.66538581424577703</v>
          </cell>
        </row>
        <row r="139">
          <cell r="A139" t="str">
            <v>Sudan</v>
          </cell>
          <cell r="B139">
            <v>130936265.8039</v>
          </cell>
          <cell r="C139">
            <v>97498190.067300007</v>
          </cell>
          <cell r="D139">
            <v>12707693.551000001</v>
          </cell>
          <cell r="E139">
            <v>241142149.42219999</v>
          </cell>
          <cell r="F139">
            <v>0.54298373850293702</v>
          </cell>
        </row>
        <row r="140">
          <cell r="A140" t="str">
            <v>Switzerland</v>
          </cell>
          <cell r="B140"/>
          <cell r="C140">
            <v>187730.66990000001</v>
          </cell>
          <cell r="D140">
            <v>-92505.469599999939</v>
          </cell>
          <cell r="E140">
            <v>95225.200300000099</v>
          </cell>
          <cell r="F140">
            <v>0</v>
          </cell>
        </row>
        <row r="141">
          <cell r="A141" t="str">
            <v>Syria</v>
          </cell>
          <cell r="B141">
            <v>69250024.706499994</v>
          </cell>
          <cell r="C141">
            <v>38205529.1281</v>
          </cell>
          <cell r="D141">
            <v>5902567.7917999998</v>
          </cell>
          <cell r="E141">
            <v>113358121.62639999</v>
          </cell>
          <cell r="F141">
            <v>0.61089601444465302</v>
          </cell>
        </row>
        <row r="142">
          <cell r="A142" t="str">
            <v>Tajikistan</v>
          </cell>
          <cell r="B142">
            <v>2259962.5000999998</v>
          </cell>
          <cell r="C142">
            <v>19835570.509100001</v>
          </cell>
          <cell r="D142">
            <v>3120212.2009999999</v>
          </cell>
          <cell r="E142">
            <v>25215745.210200001</v>
          </cell>
          <cell r="F142">
            <v>8.9625052968326499E-2</v>
          </cell>
        </row>
        <row r="143">
          <cell r="A143" t="str">
            <v>Thailand</v>
          </cell>
          <cell r="B143">
            <v>511300.45980000013</v>
          </cell>
          <cell r="C143">
            <v>8830229.4419</v>
          </cell>
          <cell r="D143">
            <v>887338.55959999992</v>
          </cell>
          <cell r="E143">
            <v>10228868.461300001</v>
          </cell>
          <cell r="F143">
            <v>4.9986023550352497E-2</v>
          </cell>
        </row>
        <row r="144">
          <cell r="A144" t="str">
            <v>Timor-Leste</v>
          </cell>
          <cell r="B144">
            <v>2974097.9109</v>
          </cell>
          <cell r="C144">
            <v>5418165.8689999999</v>
          </cell>
          <cell r="D144">
            <v>1321007.8004000001</v>
          </cell>
          <cell r="E144">
            <v>9713271.5802999996</v>
          </cell>
          <cell r="F144">
            <v>0.30618910284892298</v>
          </cell>
        </row>
        <row r="145">
          <cell r="A145" t="str">
            <v>Togo</v>
          </cell>
          <cell r="B145">
            <v>5963009.1301999995</v>
          </cell>
          <cell r="C145">
            <v>3728296.9404000002</v>
          </cell>
          <cell r="D145">
            <v>5286282.8403000003</v>
          </cell>
          <cell r="E145">
            <v>14977588.9109</v>
          </cell>
          <cell r="F145">
            <v>0.39812877531044999</v>
          </cell>
        </row>
        <row r="146">
          <cell r="A146" t="str">
            <v>Tunisia</v>
          </cell>
          <cell r="B146">
            <v>1193937.3700000001</v>
          </cell>
          <cell r="C146">
            <v>45613178.730999999</v>
          </cell>
          <cell r="D146">
            <v>831452.53059999994</v>
          </cell>
          <cell r="E146">
            <v>47638568.6316</v>
          </cell>
          <cell r="F146">
            <v>2.5062410653707699E-2</v>
          </cell>
        </row>
        <row r="147">
          <cell r="A147" t="str">
            <v>Turkey</v>
          </cell>
          <cell r="B147">
            <v>84577066.381099999</v>
          </cell>
          <cell r="C147">
            <v>60563550.751400001</v>
          </cell>
          <cell r="D147">
            <v>631546.59940000018</v>
          </cell>
          <cell r="E147">
            <v>145772163.73190001</v>
          </cell>
          <cell r="F147">
            <v>0.58020039091037801</v>
          </cell>
        </row>
        <row r="148">
          <cell r="A148" t="str">
            <v>Turkmenistan</v>
          </cell>
          <cell r="B148">
            <v>64026.859900000018</v>
          </cell>
          <cell r="C148">
            <v>247937.03030000001</v>
          </cell>
          <cell r="D148">
            <v>938910.82899999968</v>
          </cell>
          <cell r="E148">
            <v>1250874.7191999999</v>
          </cell>
          <cell r="F148">
            <v>5.1185669449734003E-2</v>
          </cell>
        </row>
        <row r="149">
          <cell r="A149" t="str">
            <v>Uganda</v>
          </cell>
          <cell r="B149">
            <v>8887063.2003000006</v>
          </cell>
          <cell r="C149">
            <v>26877681.490899999</v>
          </cell>
          <cell r="D149">
            <v>16355772.863</v>
          </cell>
          <cell r="E149">
            <v>52120517.554200001</v>
          </cell>
          <cell r="F149">
            <v>0.170509880126543</v>
          </cell>
        </row>
        <row r="150">
          <cell r="A150" t="str">
            <v>Ukraine</v>
          </cell>
          <cell r="B150">
            <v>268929624.6433</v>
          </cell>
          <cell r="C150">
            <v>46687144.719400004</v>
          </cell>
          <cell r="D150">
            <v>1052604.5702</v>
          </cell>
          <cell r="E150">
            <v>316669373.93290001</v>
          </cell>
          <cell r="F150">
            <v>0.84924418583113204</v>
          </cell>
        </row>
        <row r="151">
          <cell r="A151" t="str">
            <v>UNICEF Hosted Funds</v>
          </cell>
          <cell r="B151"/>
          <cell r="C151"/>
          <cell r="D151">
            <v>38125.019999999997</v>
          </cell>
          <cell r="E151">
            <v>38125.019999999997</v>
          </cell>
          <cell r="F151">
            <v>0</v>
          </cell>
        </row>
        <row r="152">
          <cell r="A152" t="str">
            <v>UNICEF Office to AU/UNECA</v>
          </cell>
          <cell r="B152"/>
          <cell r="C152">
            <v>475071.08000000007</v>
          </cell>
          <cell r="D152">
            <v>1749070.3100999999</v>
          </cell>
          <cell r="E152">
            <v>2224141.3901</v>
          </cell>
          <cell r="F152">
            <v>0</v>
          </cell>
        </row>
        <row r="153">
          <cell r="A153" t="str">
            <v>United Rep. of Tanzania</v>
          </cell>
          <cell r="B153">
            <v>1995208.1991000001</v>
          </cell>
          <cell r="C153">
            <v>23750281.648899999</v>
          </cell>
          <cell r="D153">
            <v>18612437.7788</v>
          </cell>
          <cell r="E153">
            <v>44357927.626800001</v>
          </cell>
          <cell r="F153">
            <v>4.4979743325396997E-2</v>
          </cell>
        </row>
        <row r="154">
          <cell r="A154" t="str">
            <v>Uruguay</v>
          </cell>
          <cell r="B154"/>
          <cell r="C154">
            <v>3463203.8409000002</v>
          </cell>
          <cell r="D154">
            <v>786700.37969999958</v>
          </cell>
          <cell r="E154">
            <v>4249904.2205999997</v>
          </cell>
          <cell r="F154">
            <v>0</v>
          </cell>
        </row>
        <row r="155">
          <cell r="A155" t="str">
            <v>Venezuela</v>
          </cell>
          <cell r="B155">
            <v>51403143.137800001</v>
          </cell>
          <cell r="C155">
            <v>2706489.1693000002</v>
          </cell>
          <cell r="D155">
            <v>1241079.9683000001</v>
          </cell>
          <cell r="E155">
            <v>55350712.275399998</v>
          </cell>
          <cell r="F155">
            <v>0.92868078882239702</v>
          </cell>
        </row>
        <row r="156">
          <cell r="A156" t="str">
            <v>Vietnam</v>
          </cell>
          <cell r="B156">
            <v>5111451.22</v>
          </cell>
          <cell r="C156">
            <v>8345322.0103000002</v>
          </cell>
          <cell r="D156">
            <v>3298723.3892999999</v>
          </cell>
          <cell r="E156">
            <v>16755496.6196</v>
          </cell>
          <cell r="F156">
            <v>0.30506115909574399</v>
          </cell>
        </row>
        <row r="157">
          <cell r="A157" t="str">
            <v>WCARO, Senegal</v>
          </cell>
          <cell r="B157">
            <v>4559703.3519000001</v>
          </cell>
          <cell r="C157">
            <v>14982965.5277</v>
          </cell>
          <cell r="D157">
            <v>2772848.2102000001</v>
          </cell>
          <cell r="E157">
            <v>22315517.0898</v>
          </cell>
          <cell r="F157">
            <v>0.204328823461776</v>
          </cell>
        </row>
        <row r="158">
          <cell r="A158" t="str">
            <v>Yemen</v>
          </cell>
          <cell r="B158">
            <v>136431609.84150001</v>
          </cell>
          <cell r="C158">
            <v>274379332.54079998</v>
          </cell>
          <cell r="D158">
            <v>12666857.023700001</v>
          </cell>
          <cell r="E158">
            <v>423477799.40600002</v>
          </cell>
          <cell r="F158">
            <v>0.322169450282562</v>
          </cell>
        </row>
        <row r="159">
          <cell r="A159" t="str">
            <v>Zambia</v>
          </cell>
          <cell r="B159">
            <v>4049791.3700999999</v>
          </cell>
          <cell r="C159">
            <v>29690103.348900001</v>
          </cell>
          <cell r="D159">
            <v>8947750.0108000003</v>
          </cell>
          <cell r="E159">
            <v>42687644.729800001</v>
          </cell>
          <cell r="F159">
            <v>9.4870340018381502E-2</v>
          </cell>
        </row>
        <row r="160">
          <cell r="A160" t="str">
            <v>Zimbabwe</v>
          </cell>
          <cell r="B160">
            <v>8711087.8816</v>
          </cell>
          <cell r="C160">
            <v>55488739.678400002</v>
          </cell>
          <cell r="D160">
            <v>7988352.3603999997</v>
          </cell>
          <cell r="E160">
            <v>72188179.920399994</v>
          </cell>
          <cell r="F160">
            <v>0.120671942293122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 Gomez Velarde" refreshedDate="45645.512205439816" createdVersion="8" refreshedVersion="8" minRefreshableVersion="3" recordCount="163" xr:uid="{41521C48-D143-4BC6-BD9C-B66A648A8645}">
  <cacheSource type="worksheet">
    <worksheetSource ref="A1:V164" sheet="2024"/>
  </cacheSource>
  <cacheFields count="22">
    <cacheField name="Business_x000a_Area" numFmtId="0">
      <sharedItems count="159">
        <s v="Iraq"/>
        <s v="Turkey"/>
        <s v="Belarus"/>
        <s v="Belize"/>
        <s v="Benin"/>
        <s v="Bolivia"/>
        <s v="Brazil"/>
        <s v="Bulgaria"/>
        <s v="Chile"/>
        <s v="Colombia"/>
        <s v="Costa Rica"/>
        <s v="Cote D'Ivoire"/>
        <s v="Dominican Republic"/>
        <s v="Ecuador"/>
        <s v="Egypt"/>
        <s v="El Salvador"/>
        <s v="Ghana"/>
        <s v="Guatemala"/>
        <s v="Guyana"/>
        <s v="Honduras"/>
        <s v="Jordan"/>
        <s v="Lebanon"/>
        <s v="Mexico"/>
        <s v="Moldova"/>
        <s v="Nicaragua"/>
        <s v="Panama"/>
        <s v="Peru"/>
        <s v="Poland"/>
        <s v="Romania"/>
        <s v="Togo"/>
        <s v="Trinidad &amp; Tobago"/>
        <s v="Ukraine"/>
        <s v="Uruguay"/>
        <s v="Afghanistan"/>
        <s v="Armenia"/>
        <s v="Bangladesh"/>
        <s v="Burkina Faso"/>
        <s v="Central African Republic"/>
        <s v="Chad"/>
        <s v="Democratic Republic of Congo"/>
        <s v="Ethiopia"/>
        <s v="Haiti"/>
        <s v="Kenya"/>
        <s v="Madagascar"/>
        <s v="Malawi"/>
        <s v="Mali"/>
        <s v="Myanmar"/>
        <s v="Niger"/>
        <s v="Nigeria"/>
        <s v="Pakistan"/>
        <s v="Palestine, State of"/>
        <s v="Republic of Cameroon"/>
        <s v="Republic of Mozambique"/>
        <s v="Somalia"/>
        <s v="South Sudan"/>
        <s v="Sudan"/>
        <s v="Syria"/>
        <s v="Uganda"/>
        <s v="Venezuela"/>
        <s v="Yemen"/>
        <s v="Zimbabwe"/>
        <s v="Albania"/>
        <s v="Algeria"/>
        <s v="Angola"/>
        <s v="Anguilla"/>
        <s v="Antigua and Barbuda"/>
        <s v="Argentina"/>
        <s v="Azerbaijan"/>
        <s v="Bahrain"/>
        <s v="Barbados"/>
        <s v="Bhutan"/>
        <s v="Bosnia and Herzegovina"/>
        <s v="Botswana"/>
        <s v="British Virgin Islands"/>
        <s v="Burundi"/>
        <s v="Cabo Verde"/>
        <s v="Cambodia"/>
        <s v="China"/>
        <s v="Comoros"/>
        <s v="Congo"/>
        <s v="Cook Islands"/>
        <s v="Croatia"/>
        <s v="Cuba"/>
        <s v="Djibouti"/>
        <s v="Dominica"/>
        <s v="DP Republic of Korea"/>
        <s v="Equatorial Guinea"/>
        <s v="Eritrea"/>
        <s v="Eswatini"/>
        <s v="Fiji"/>
        <s v="Gabon"/>
        <s v="Gambia"/>
        <s v="Georgia"/>
        <s v="Greece"/>
        <s v="Grenada"/>
        <s v="Guinea"/>
        <s v="Guinea Bissau"/>
        <s v="India"/>
        <s v="Indonesia"/>
        <s v="Iran"/>
        <s v="Jamaica"/>
        <s v="Kazakhstan"/>
        <s v="Kiribati"/>
        <s v="Kosovo (UN SC resolution 1244)"/>
        <s v="Kuwait"/>
        <s v="Lao People's Dem Rep."/>
        <s v="Lesotho"/>
        <s v="Liberia"/>
        <s v="Libya"/>
        <s v="Malaysia"/>
        <s v="Maldives"/>
        <s v="Marshall Islands"/>
        <s v="Mauritania"/>
        <s v="Micronesia"/>
        <s v="Mongolia"/>
        <s v="Montserrat"/>
        <s v="Morocco"/>
        <s v="Namibia"/>
        <s v="Nauru"/>
        <s v="Nepal"/>
        <s v="Niue"/>
        <s v="North Macedonia"/>
        <s v="Oman"/>
        <s v="Palau"/>
        <s v="Papua New Guinea"/>
        <s v="Paraguay"/>
        <s v="Philippines"/>
        <s v="Qatar"/>
        <s v="Rep of Uzbekistan"/>
        <s v="Republic of Kyrgyzstan"/>
        <s v="Republic of Montenegro"/>
        <s v="Rwanda"/>
        <s v="Samoa"/>
        <s v="Sao Tome &amp; Principe"/>
        <s v="Saudi Arabia"/>
        <s v="Senegal"/>
        <s v="Serbia"/>
        <s v="Sierra Leone"/>
        <s v="Solomon Islands"/>
        <s v="South Africa"/>
        <s v="Sri Lanka"/>
        <s v="St. Kitts and Nevis"/>
        <s v="St. Lucia"/>
        <s v="St. Vincent and the Grenadines"/>
        <s v="Suriname"/>
        <s v="Tajikistan"/>
        <s v="Thailand"/>
        <s v="Timor-Leste"/>
        <s v="Tokelau"/>
        <s v="Tonga"/>
        <s v="Tunisia"/>
        <s v="Turkmenistan"/>
        <s v="Turks and Caicos Islands"/>
        <s v="Tuvalu"/>
        <s v="UAE"/>
        <s v="United Rep. of Tanzania"/>
        <s v="Vanuatu"/>
        <s v="Vietnam"/>
        <s v="Zambia"/>
      </sharedItems>
    </cacheField>
    <cacheField name="Region" numFmtId="0">
      <sharedItems containsBlank="1" count="8">
        <s v="MENAR"/>
        <s v="ECAR"/>
        <s v="LACR"/>
        <s v="WCAR"/>
        <m/>
        <s v="SAR"/>
        <s v="ESAR"/>
        <s v="EAPR"/>
      </sharedItems>
    </cacheField>
    <cacheField name="BA CODE" numFmtId="49">
      <sharedItems containsBlank="1"/>
    </cacheField>
    <cacheField name="Region UNSD" numFmtId="0">
      <sharedItems containsBlank="1"/>
    </cacheField>
    <cacheField name="Sub-Region UNSD" numFmtId="0">
      <sharedItems containsBlank="1"/>
    </cacheField>
    <cacheField name="Country Office" numFmtId="0">
      <sharedItems containsBlank="1" count="3">
        <s v="Yes"/>
        <s v="No"/>
        <m/>
      </sharedItems>
    </cacheField>
    <cacheField name="Multi-country Programme" numFmtId="0">
      <sharedItems containsBlank="1"/>
    </cacheField>
    <cacheField name="ISO 3 Code" numFmtId="0">
      <sharedItems containsBlank="1"/>
    </cacheField>
    <cacheField name="HIV Priority country" numFmtId="0">
      <sharedItems containsBlank="1"/>
    </cacheField>
    <cacheField name="WB Income Group classification" numFmtId="0">
      <sharedItems containsBlank="1"/>
    </cacheField>
    <cacheField name="WB fragile and conflict-affected situations classification" numFmtId="0">
      <sharedItems containsBlank="1"/>
    </cacheField>
    <cacheField name="Humanitarian Countries for impact and outcome reporting" numFmtId="0">
      <sharedItems containsBlank="1" count="3">
        <s v="Yes"/>
        <s v="No"/>
        <m/>
      </sharedItems>
    </cacheField>
    <cacheField name="Countries and Territories with HACs" numFmtId="0">
      <sharedItems containsBlank="1" count="3">
        <s v="Yes"/>
        <m/>
        <s v="No" u="1"/>
      </sharedItems>
    </cacheField>
    <cacheField name="Stand-alone HAC" numFmtId="0">
      <sharedItems containsBlank="1"/>
    </cacheField>
    <cacheField name="Multi-country HAC" numFmtId="0">
      <sharedItems containsBlank="1"/>
    </cacheField>
    <cacheField name="% ORE/Total Expenses" numFmtId="164">
      <sharedItems containsBlank="1" containsMixedTypes="1" containsNumber="1" minValue="-3.7165105834155686E-2" maxValue="0.92868078882239713"/>
    </cacheField>
    <cacheField name="High Burden countries" numFmtId="0">
      <sharedItems containsBlank="1" count="3">
        <s v="No"/>
        <s v="Yes"/>
        <m/>
      </sharedItems>
    </cacheField>
    <cacheField name="Least Developed Countries " numFmtId="0">
      <sharedItems containsBlank="1"/>
    </cacheField>
    <cacheField name="Land Locked Developing Countries " numFmtId="0">
      <sharedItems containsBlank="1"/>
    </cacheField>
    <cacheField name="Small Island Developing States" numFmtId="0">
      <sharedItems containsBlank="1"/>
    </cacheField>
    <cacheField name="Intermediate Region UNSD" numFmtId="0">
      <sharedItems containsBlank="1"/>
    </cacheField>
    <cacheField name="Countries with an HR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x v="0"/>
    <s v="2130"/>
    <s v="Asia"/>
    <s v="Western Asia"/>
    <x v="0"/>
    <m/>
    <s v="IRQ"/>
    <s v="No"/>
    <s v="Upper middle income"/>
    <s v="Conflict"/>
    <x v="0"/>
    <x v="0"/>
    <s v="Yes"/>
    <s v="Yes"/>
    <n v="0.2402284705839004"/>
    <x v="0"/>
    <s v="No"/>
    <s v="No"/>
    <s v="No"/>
    <m/>
    <s v="No"/>
  </r>
  <r>
    <x v="1"/>
    <x v="1"/>
    <s v="4350"/>
    <s v="Asia"/>
    <s v="Western Asia"/>
    <x v="0"/>
    <m/>
    <s v="TUR"/>
    <s v="No"/>
    <s v="Upper middle income"/>
    <m/>
    <x v="1"/>
    <x v="0"/>
    <s v="Yes"/>
    <s v="Yes"/>
    <n v="0.58020039091037801"/>
    <x v="0"/>
    <s v="No"/>
    <s v="No"/>
    <s v="No"/>
    <m/>
    <s v="No"/>
  </r>
  <r>
    <x v="2"/>
    <x v="1"/>
    <s v="0630"/>
    <s v="Europe"/>
    <s v="Eastern Europe"/>
    <x v="0"/>
    <m/>
    <s v="BLR"/>
    <s v="No"/>
    <s v="Upper middle income"/>
    <m/>
    <x v="1"/>
    <x v="1"/>
    <m/>
    <s v="Yes"/>
    <n v="0.47596011375414959"/>
    <x v="0"/>
    <s v="No"/>
    <s v="No"/>
    <s v="No"/>
    <m/>
    <s v="No"/>
  </r>
  <r>
    <x v="3"/>
    <x v="2"/>
    <s v="6110"/>
    <s v="Americas"/>
    <s v="Latin America and the Caribbean"/>
    <x v="0"/>
    <m/>
    <s v="BLZ"/>
    <s v="No"/>
    <s v="Upper middle income"/>
    <m/>
    <x v="1"/>
    <x v="0"/>
    <m/>
    <s v="Yes"/>
    <n v="0.54714751306430043"/>
    <x v="0"/>
    <s v="No"/>
    <s v="No"/>
    <s v="Yes"/>
    <s v="Central America"/>
    <s v="No"/>
  </r>
  <r>
    <x v="4"/>
    <x v="3"/>
    <s v="1170"/>
    <s v="Africa"/>
    <s v="Sub-Saharan Africa"/>
    <x v="0"/>
    <m/>
    <s v="BEN"/>
    <s v="No"/>
    <s v="Lower middle income"/>
    <m/>
    <x v="1"/>
    <x v="1"/>
    <m/>
    <s v="Yes"/>
    <n v="0.120077912412818"/>
    <x v="1"/>
    <s v="Yes"/>
    <s v="No"/>
    <s v="No"/>
    <s v="Western Africa"/>
    <s v="No"/>
  </r>
  <r>
    <x v="5"/>
    <x v="2"/>
    <s v="0510"/>
    <s v="Americas"/>
    <s v="Latin America and the Caribbean"/>
    <x v="0"/>
    <m/>
    <s v="BOL"/>
    <s v="No"/>
    <s v="Lower middle income"/>
    <m/>
    <x v="1"/>
    <x v="1"/>
    <m/>
    <s v="Yes"/>
    <n v="7.71163574090038E-2"/>
    <x v="0"/>
    <s v="No"/>
    <s v="Yes"/>
    <s v="No"/>
    <s v="South America"/>
    <s v="No"/>
  </r>
  <r>
    <x v="6"/>
    <x v="2"/>
    <s v="0540"/>
    <s v="Americas"/>
    <s v="Latin America and the Caribbean"/>
    <x v="0"/>
    <m/>
    <s v="BRA"/>
    <s v="Yes"/>
    <s v="Upper middle income"/>
    <m/>
    <x v="1"/>
    <x v="1"/>
    <m/>
    <s v="Yes"/>
    <n v="0.31766921358544931"/>
    <x v="0"/>
    <s v="No"/>
    <s v="No"/>
    <s v="No"/>
    <s v="South America"/>
    <s v="No"/>
  </r>
  <r>
    <x v="7"/>
    <x v="1"/>
    <s v="0570"/>
    <s v="Europe"/>
    <s v="Eastern Europe"/>
    <x v="0"/>
    <m/>
    <s v="BGR"/>
    <s v="No"/>
    <s v="High income"/>
    <m/>
    <x v="1"/>
    <x v="0"/>
    <m/>
    <s v="Yes"/>
    <n v="0.53754304556314247"/>
    <x v="0"/>
    <s v="No"/>
    <s v="No"/>
    <s v="No"/>
    <m/>
    <s v="No"/>
  </r>
  <r>
    <x v="8"/>
    <x v="2"/>
    <s v="0840"/>
    <s v="Americas"/>
    <s v="Latin America and the Caribbean"/>
    <x v="0"/>
    <m/>
    <s v="CHL"/>
    <s v="No"/>
    <s v="High income"/>
    <m/>
    <x v="1"/>
    <x v="1"/>
    <m/>
    <s v="Yes"/>
    <n v="0.22918050977853957"/>
    <x v="0"/>
    <s v="No"/>
    <s v="No"/>
    <s v="No"/>
    <s v="South America"/>
    <s v="No"/>
  </r>
  <r>
    <x v="9"/>
    <x v="2"/>
    <s v="0930"/>
    <s v="Americas"/>
    <s v="Latin America and the Caribbean"/>
    <x v="0"/>
    <m/>
    <s v="COL"/>
    <s v="No"/>
    <s v="Upper middle income"/>
    <m/>
    <x v="1"/>
    <x v="1"/>
    <m/>
    <s v="Yes"/>
    <n v="0.40384450679489703"/>
    <x v="0"/>
    <s v="No"/>
    <s v="No"/>
    <s v="No"/>
    <s v="South America"/>
    <s v="Yes"/>
  </r>
  <r>
    <x v="10"/>
    <x v="2"/>
    <s v="1020"/>
    <s v="Americas"/>
    <s v="Latin America and the Caribbean"/>
    <x v="0"/>
    <m/>
    <s v="CRI"/>
    <s v="No"/>
    <s v="Upper middle income"/>
    <m/>
    <x v="1"/>
    <x v="0"/>
    <m/>
    <s v="Yes"/>
    <n v="0.65072663856705204"/>
    <x v="0"/>
    <s v="No"/>
    <s v="No"/>
    <s v="No"/>
    <s v="Central America"/>
    <s v="No"/>
  </r>
  <r>
    <x v="11"/>
    <x v="3"/>
    <s v="2250"/>
    <s v="Africa"/>
    <s v="Sub-Saharan Africa"/>
    <x v="0"/>
    <m/>
    <s v="CIV"/>
    <s v="Yes"/>
    <s v="Lower middle income"/>
    <m/>
    <x v="1"/>
    <x v="1"/>
    <m/>
    <s v="Yes"/>
    <n v="0.10355418283106346"/>
    <x v="1"/>
    <s v="No"/>
    <s v="No"/>
    <s v="No"/>
    <s v="Western Africa"/>
    <s v="No"/>
  </r>
  <r>
    <x v="12"/>
    <x v="2"/>
    <s v="1260"/>
    <s v="Americas"/>
    <s v="Latin America and the Caribbean"/>
    <x v="0"/>
    <m/>
    <s v="DOM"/>
    <s v="Yes"/>
    <s v="Upper middle income"/>
    <m/>
    <x v="1"/>
    <x v="1"/>
    <m/>
    <s v="Yes"/>
    <n v="0.3156172600157674"/>
    <x v="0"/>
    <s v="No"/>
    <s v="No"/>
    <s v="Yes"/>
    <s v="Caribbean"/>
    <s v="No"/>
  </r>
  <r>
    <x v="13"/>
    <x v="2"/>
    <s v="1350"/>
    <s v="Americas"/>
    <s v="Latin America and the Caribbean"/>
    <x v="0"/>
    <m/>
    <s v="ECU"/>
    <s v="No"/>
    <s v="Upper middle income"/>
    <m/>
    <x v="1"/>
    <x v="1"/>
    <m/>
    <s v="Yes"/>
    <n v="0.38213038893154183"/>
    <x v="0"/>
    <s v="No"/>
    <s v="No"/>
    <s v="No"/>
    <s v="South America"/>
    <s v="No"/>
  </r>
  <r>
    <x v="14"/>
    <x v="0"/>
    <s v="4500"/>
    <s v="Africa"/>
    <s v="Northern Africa"/>
    <x v="0"/>
    <m/>
    <s v="EGY"/>
    <s v="No"/>
    <s v="Lower middle income"/>
    <m/>
    <x v="1"/>
    <x v="1"/>
    <m/>
    <s v="Yes"/>
    <n v="0.35237527503793892"/>
    <x v="0"/>
    <s v="No"/>
    <s v="No"/>
    <s v="No"/>
    <m/>
    <s v="No"/>
  </r>
  <r>
    <x v="15"/>
    <x v="2"/>
    <s v="1380"/>
    <s v="Americas"/>
    <s v="Latin America and the Caribbean"/>
    <x v="0"/>
    <m/>
    <s v="SLV"/>
    <s v="No"/>
    <s v="Upper middle income"/>
    <m/>
    <x v="1"/>
    <x v="0"/>
    <m/>
    <s v="Yes"/>
    <n v="0.5483510805823737"/>
    <x v="0"/>
    <s v="No"/>
    <s v="No"/>
    <s v="No"/>
    <s v="Central America"/>
    <s v="Yes"/>
  </r>
  <r>
    <x v="16"/>
    <x v="3"/>
    <s v="1620"/>
    <s v="Africa"/>
    <s v="Sub-Saharan Africa"/>
    <x v="0"/>
    <m/>
    <s v="GHA"/>
    <s v="Yes"/>
    <s v="Lower middle income"/>
    <m/>
    <x v="1"/>
    <x v="1"/>
    <m/>
    <s v="Yes"/>
    <n v="8.3876573078283306E-2"/>
    <x v="1"/>
    <s v="No"/>
    <s v="No"/>
    <s v="No"/>
    <s v="Western Africa"/>
    <s v="No"/>
  </r>
  <r>
    <x v="17"/>
    <x v="2"/>
    <s v="1680"/>
    <s v="Americas"/>
    <s v="Latin America and the Caribbean"/>
    <x v="0"/>
    <m/>
    <s v="GTM"/>
    <s v="No"/>
    <s v="Upper middle income"/>
    <m/>
    <x v="1"/>
    <x v="1"/>
    <m/>
    <s v="Yes"/>
    <n v="0.25331058043545185"/>
    <x v="0"/>
    <s v="No"/>
    <s v="No"/>
    <s v="No"/>
    <s v="Central America"/>
    <s v="Yes"/>
  </r>
  <r>
    <x v="18"/>
    <x v="2"/>
    <s v="1800RAM301"/>
    <s v="Americas"/>
    <s v="Latin America and the Caribbean"/>
    <x v="1"/>
    <s v="Guyana and Suriname country programme (Guyana)"/>
    <s v="GUY"/>
    <s v="No"/>
    <s v="High income"/>
    <m/>
    <x v="1"/>
    <x v="1"/>
    <m/>
    <s v="Yes"/>
    <n v="0.21859861503660358"/>
    <x v="0"/>
    <s v="No"/>
    <s v="No"/>
    <s v="Yes"/>
    <s v="South America"/>
    <s v="No"/>
  </r>
  <r>
    <x v="18"/>
    <x v="2"/>
    <s v="1800"/>
    <s v="Americas"/>
    <s v="Latin America and the Caribbean"/>
    <x v="0"/>
    <m/>
    <s v="GUY"/>
    <s v="No"/>
    <s v="High income"/>
    <m/>
    <x v="1"/>
    <x v="1"/>
    <m/>
    <s v="Yes"/>
    <n v="0.21859861503660358"/>
    <x v="0"/>
    <s v="No"/>
    <s v="No"/>
    <s v="Yes"/>
    <s v="South America"/>
    <s v="No"/>
  </r>
  <r>
    <x v="19"/>
    <x v="2"/>
    <s v="1860"/>
    <s v="Americas"/>
    <s v="Latin America and the Caribbean"/>
    <x v="0"/>
    <m/>
    <s v="HND"/>
    <s v="No"/>
    <s v="Lower middle income"/>
    <m/>
    <x v="1"/>
    <x v="0"/>
    <m/>
    <s v="Yes"/>
    <n v="0.66048382439041553"/>
    <x v="0"/>
    <s v="No"/>
    <s v="No"/>
    <s v="No"/>
    <s v="Central America"/>
    <s v="Yes"/>
  </r>
  <r>
    <x v="20"/>
    <x v="0"/>
    <s v="2340"/>
    <s v="Asia"/>
    <s v="Western Asia"/>
    <x v="0"/>
    <m/>
    <s v="JOR"/>
    <s v="No"/>
    <s v="Lower middle income"/>
    <m/>
    <x v="1"/>
    <x v="1"/>
    <m/>
    <s v="Yes"/>
    <n v="0.43332689190321511"/>
    <x v="0"/>
    <s v="No"/>
    <s v="No"/>
    <s v="No"/>
    <m/>
    <s v="No"/>
  </r>
  <r>
    <x v="21"/>
    <x v="0"/>
    <s v="2490"/>
    <s v="Asia"/>
    <s v="Western Asia"/>
    <x v="0"/>
    <m/>
    <s v="LBN"/>
    <s v="No"/>
    <s v="Lower middle income"/>
    <s v="Institutional And Social Fragility"/>
    <x v="0"/>
    <x v="1"/>
    <m/>
    <s v="Yes"/>
    <n v="0.29432783853889027"/>
    <x v="0"/>
    <s v="No"/>
    <s v="No"/>
    <s v="No"/>
    <m/>
    <s v="No"/>
  </r>
  <r>
    <x v="22"/>
    <x v="2"/>
    <s v="2850"/>
    <s v="Americas"/>
    <s v="Latin America and the Caribbean"/>
    <x v="0"/>
    <m/>
    <s v="MEX"/>
    <s v="No"/>
    <s v="Upper middle income"/>
    <m/>
    <x v="1"/>
    <x v="0"/>
    <m/>
    <s v="Yes"/>
    <n v="0.53786937444517713"/>
    <x v="0"/>
    <s v="No"/>
    <s v="No"/>
    <s v="No"/>
    <s v="Central America"/>
    <s v="No"/>
  </r>
  <r>
    <x v="23"/>
    <x v="1"/>
    <s v="5640"/>
    <s v="Europe"/>
    <s v="Eastern Europe"/>
    <x v="0"/>
    <m/>
    <s v="MDA"/>
    <s v="No"/>
    <s v="Upper middle income"/>
    <m/>
    <x v="1"/>
    <x v="0"/>
    <m/>
    <s v="Yes"/>
    <n v="0.80396223089180596"/>
    <x v="0"/>
    <s v="No"/>
    <s v="Yes"/>
    <s v="No"/>
    <m/>
    <s v="No"/>
  </r>
  <r>
    <x v="24"/>
    <x v="2"/>
    <s v="3120"/>
    <s v="Americas"/>
    <s v="Latin America and the Caribbean"/>
    <x v="0"/>
    <m/>
    <s v="NIC"/>
    <s v="No"/>
    <s v="Lower middle income"/>
    <m/>
    <x v="1"/>
    <x v="1"/>
    <m/>
    <s v="Yes"/>
    <n v="0.28334394522572592"/>
    <x v="0"/>
    <s v="No"/>
    <s v="No"/>
    <s v="No"/>
    <s v="Central America"/>
    <s v="No"/>
  </r>
  <r>
    <x v="25"/>
    <x v="2"/>
    <s v="3330"/>
    <s v="Americas"/>
    <s v="Latin America and the Caribbean"/>
    <x v="0"/>
    <m/>
    <s v="PAN"/>
    <s v="No"/>
    <s v="High income"/>
    <m/>
    <x v="1"/>
    <x v="0"/>
    <m/>
    <s v="Yes"/>
    <n v="0.75290180083624325"/>
    <x v="0"/>
    <s v="No"/>
    <s v="No"/>
    <s v="No"/>
    <s v="Central America"/>
    <s v="No"/>
  </r>
  <r>
    <x v="26"/>
    <x v="2"/>
    <s v="3390"/>
    <s v="Americas"/>
    <s v="Latin America and the Caribbean"/>
    <x v="0"/>
    <m/>
    <s v="PER"/>
    <s v="No"/>
    <s v="Upper middle income"/>
    <m/>
    <x v="1"/>
    <x v="1"/>
    <m/>
    <s v="Yes"/>
    <n v="0.37289898081155054"/>
    <x v="0"/>
    <s v="No"/>
    <s v="No"/>
    <s v="No"/>
    <s v="South America"/>
    <s v="No"/>
  </r>
  <r>
    <x v="27"/>
    <x v="4"/>
    <m/>
    <m/>
    <m/>
    <x v="2"/>
    <m/>
    <m/>
    <m/>
    <m/>
    <m/>
    <x v="2"/>
    <x v="1"/>
    <m/>
    <m/>
    <m/>
    <x v="2"/>
    <m/>
    <m/>
    <m/>
    <m/>
    <m/>
  </r>
  <r>
    <x v="28"/>
    <x v="1"/>
    <s v="3660"/>
    <s v="Europe"/>
    <s v="Eastern Europe"/>
    <x v="0"/>
    <m/>
    <s v="ROU"/>
    <s v="No"/>
    <s v="High income"/>
    <m/>
    <x v="1"/>
    <x v="0"/>
    <m/>
    <s v="Yes"/>
    <n v="0.57260194367254424"/>
    <x v="0"/>
    <s v="No"/>
    <s v="No"/>
    <s v="No"/>
    <m/>
    <s v="No"/>
  </r>
  <r>
    <x v="29"/>
    <x v="3"/>
    <s v="4230"/>
    <s v="Africa"/>
    <s v="Sub-Saharan Africa"/>
    <x v="0"/>
    <m/>
    <s v="TGO"/>
    <s v="No"/>
    <s v="Low income"/>
    <m/>
    <x v="1"/>
    <x v="1"/>
    <m/>
    <s v="Yes"/>
    <n v="0.39812877531045038"/>
    <x v="1"/>
    <s v="Yes"/>
    <s v="No"/>
    <s v="No"/>
    <s v="Western Africa"/>
    <s v="No"/>
  </r>
  <r>
    <x v="30"/>
    <x v="2"/>
    <s v="0420C00000"/>
    <s v="Americas"/>
    <s v="Latin America and the Caribbean"/>
    <x v="1"/>
    <s v="Eastern Caribbean multi-country programme (Barbados)"/>
    <s v="TTO"/>
    <s v="No"/>
    <s v="High income"/>
    <m/>
    <x v="1"/>
    <x v="1"/>
    <m/>
    <s v="Yes"/>
    <e v="#N/A"/>
    <x v="0"/>
    <s v="No"/>
    <s v="No"/>
    <s v="Yes"/>
    <s v="Caribbean"/>
    <s v="No"/>
  </r>
  <r>
    <x v="31"/>
    <x v="1"/>
    <s v="4410"/>
    <s v="Europe"/>
    <s v="Eastern Europe"/>
    <x v="0"/>
    <m/>
    <s v="UKR"/>
    <s v="Yes"/>
    <s v="Upper middle income"/>
    <s v="Conflict"/>
    <x v="0"/>
    <x v="0"/>
    <m/>
    <s v="Yes"/>
    <n v="0.84924418583113204"/>
    <x v="0"/>
    <s v="No"/>
    <s v="No"/>
    <s v="No"/>
    <m/>
    <s v="Yes"/>
  </r>
  <r>
    <x v="32"/>
    <x v="2"/>
    <s v="4620"/>
    <s v="Americas"/>
    <s v="Latin America and the Caribbean"/>
    <x v="0"/>
    <m/>
    <s v="URY"/>
    <s v="No"/>
    <s v="High income"/>
    <m/>
    <x v="1"/>
    <x v="1"/>
    <m/>
    <s v="Yes"/>
    <n v="0"/>
    <x v="0"/>
    <s v="No"/>
    <s v="No"/>
    <s v="No"/>
    <s v="South America"/>
    <s v="No"/>
  </r>
  <r>
    <x v="33"/>
    <x v="5"/>
    <s v="0060"/>
    <s v="Asia"/>
    <s v="Southern Asia"/>
    <x v="0"/>
    <m/>
    <s v="AFG"/>
    <s v="No"/>
    <s v="Low income"/>
    <s v="Conflict"/>
    <x v="0"/>
    <x v="0"/>
    <s v="Yes"/>
    <m/>
    <n v="0.17389315504222908"/>
    <x v="1"/>
    <s v="Yes"/>
    <s v="Yes"/>
    <s v="No"/>
    <m/>
    <s v="Yes"/>
  </r>
  <r>
    <x v="34"/>
    <x v="1"/>
    <s v="0260"/>
    <s v="Asia"/>
    <s v="Western Asia"/>
    <x v="0"/>
    <m/>
    <s v="ARM"/>
    <s v="No"/>
    <s v="Many"/>
    <m/>
    <x v="1"/>
    <x v="0"/>
    <s v="Yes"/>
    <m/>
    <n v="0.54116945156060514"/>
    <x v="0"/>
    <s v="No"/>
    <s v="Yes"/>
    <s v="No"/>
    <m/>
    <s v="No"/>
  </r>
  <r>
    <x v="35"/>
    <x v="5"/>
    <s v="5070"/>
    <s v="Asia"/>
    <s v="Southern Asia"/>
    <x v="0"/>
    <m/>
    <s v="BGD"/>
    <s v="Yes"/>
    <s v="Lower middle income"/>
    <m/>
    <x v="1"/>
    <x v="0"/>
    <s v="Yes"/>
    <m/>
    <n v="0.31737127784110464"/>
    <x v="1"/>
    <s v="Yes"/>
    <s v="No"/>
    <s v="No"/>
    <m/>
    <s v="No"/>
  </r>
  <r>
    <x v="36"/>
    <x v="3"/>
    <s v="4590"/>
    <s v="Africa"/>
    <s v="Sub-Saharan Africa"/>
    <x v="0"/>
    <m/>
    <s v="BFA"/>
    <s v="No"/>
    <s v="Low income"/>
    <s v="Conflict"/>
    <x v="0"/>
    <x v="0"/>
    <s v="Yes"/>
    <m/>
    <n v="0.27655277325859129"/>
    <x v="1"/>
    <s v="Yes"/>
    <s v="Yes"/>
    <s v="No"/>
    <s v="Western Africa"/>
    <s v="Yes"/>
  </r>
  <r>
    <x v="37"/>
    <x v="3"/>
    <s v="0750"/>
    <s v="Africa"/>
    <s v="Sub-Saharan Africa"/>
    <x v="0"/>
    <m/>
    <s v="CAF"/>
    <s v="No"/>
    <s v="Low income"/>
    <s v="Conflict"/>
    <x v="0"/>
    <x v="0"/>
    <s v="Yes"/>
    <m/>
    <n v="0.34774464982825293"/>
    <x v="1"/>
    <s v="Yes"/>
    <s v="Yes"/>
    <s v="No"/>
    <s v="Middle Africa"/>
    <s v="Yes"/>
  </r>
  <r>
    <x v="38"/>
    <x v="3"/>
    <s v="0810"/>
    <s v="Africa"/>
    <s v="Sub-Saharan Africa"/>
    <x v="0"/>
    <m/>
    <s v="TCD"/>
    <s v="Yes"/>
    <s v="Low income"/>
    <s v="Institutional And Social Fragility"/>
    <x v="1"/>
    <x v="0"/>
    <s v="Yes"/>
    <m/>
    <n v="0.24045095345374318"/>
    <x v="1"/>
    <s v="Yes"/>
    <s v="Yes"/>
    <s v="No"/>
    <s v="Middle Africa"/>
    <s v="Yes"/>
  </r>
  <r>
    <x v="39"/>
    <x v="3"/>
    <s v="0990"/>
    <s v="Africa"/>
    <s v="Sub-Saharan Africa"/>
    <x v="0"/>
    <m/>
    <s v="COD"/>
    <s v="Yes"/>
    <s v="Low income"/>
    <s v="Conflict"/>
    <x v="0"/>
    <x v="0"/>
    <s v="Yes"/>
    <m/>
    <n v="0.30116707923991592"/>
    <x v="1"/>
    <s v="Yes"/>
    <s v="No"/>
    <s v="No"/>
    <s v="Middle Africa"/>
    <s v="Yes"/>
  </r>
  <r>
    <x v="40"/>
    <x v="6"/>
    <s v="1410"/>
    <s v="Africa"/>
    <s v="Sub-Saharan Africa"/>
    <x v="0"/>
    <m/>
    <s v="ETH"/>
    <s v="Yes"/>
    <s v="Low income"/>
    <s v="Conflict"/>
    <x v="0"/>
    <x v="0"/>
    <s v="Yes"/>
    <m/>
    <n v="0.49731013782850225"/>
    <x v="1"/>
    <s v="Yes"/>
    <s v="Yes"/>
    <s v="No"/>
    <s v="Eastern Africa"/>
    <s v="Yes"/>
  </r>
  <r>
    <x v="41"/>
    <x v="2"/>
    <s v="1830"/>
    <s v="Americas"/>
    <s v="Latin America and the Caribbean"/>
    <x v="0"/>
    <m/>
    <s v="HTI"/>
    <s v="Yes"/>
    <s v="Lower middle income"/>
    <s v="Institutional And Social Fragility"/>
    <x v="0"/>
    <x v="0"/>
    <s v="Yes"/>
    <m/>
    <n v="0.54860976240098847"/>
    <x v="1"/>
    <s v="Yes"/>
    <s v="No"/>
    <s v="Yes"/>
    <s v="Caribbean"/>
    <s v="Yes"/>
  </r>
  <r>
    <x v="42"/>
    <x v="6"/>
    <s v="2400"/>
    <s v="Africa"/>
    <s v="Sub-Saharan Africa"/>
    <x v="0"/>
    <m/>
    <s v="KEN"/>
    <s v="Yes"/>
    <s v="Lower middle income"/>
    <m/>
    <x v="1"/>
    <x v="0"/>
    <s v="Yes"/>
    <m/>
    <n v="0.36764496808889974"/>
    <x v="1"/>
    <s v="No"/>
    <s v="No"/>
    <s v="No"/>
    <s v="Eastern Africa"/>
    <s v="No"/>
  </r>
  <r>
    <x v="43"/>
    <x v="6"/>
    <s v="2670"/>
    <s v="Africa"/>
    <s v="Sub-Saharan Africa"/>
    <x v="0"/>
    <m/>
    <s v="MDG"/>
    <s v="No"/>
    <s v="Low income"/>
    <m/>
    <x v="0"/>
    <x v="0"/>
    <s v="Yes"/>
    <m/>
    <n v="0.24095498394571421"/>
    <x v="1"/>
    <s v="Yes"/>
    <s v="No"/>
    <s v="No"/>
    <s v="Eastern Africa"/>
    <s v="No"/>
  </r>
  <r>
    <x v="44"/>
    <x v="6"/>
    <s v="2690"/>
    <s v="Africa"/>
    <s v="Sub-Saharan Africa"/>
    <x v="0"/>
    <m/>
    <s v="MWI"/>
    <s v="Yes"/>
    <s v="Low income"/>
    <m/>
    <x v="1"/>
    <x v="0"/>
    <s v="Yes"/>
    <m/>
    <n v="0.29301557321339183"/>
    <x v="1"/>
    <s v="Yes"/>
    <s v="Yes"/>
    <s v="No"/>
    <s v="Eastern Africa"/>
    <s v="No"/>
  </r>
  <r>
    <x v="45"/>
    <x v="3"/>
    <s v="2760"/>
    <s v="Africa"/>
    <s v="Sub-Saharan Africa"/>
    <x v="0"/>
    <m/>
    <s v="MLI"/>
    <s v="No"/>
    <s v="Low income"/>
    <s v="Conflict"/>
    <x v="0"/>
    <x v="0"/>
    <s v="Yes"/>
    <m/>
    <n v="0.20205914768346842"/>
    <x v="1"/>
    <s v="Yes"/>
    <s v="Yes"/>
    <s v="No"/>
    <s v="Western Africa"/>
    <s v="Yes"/>
  </r>
  <r>
    <x v="46"/>
    <x v="7"/>
    <s v="0600"/>
    <s v="Asia"/>
    <s v="South-eastern Asia"/>
    <x v="0"/>
    <m/>
    <s v="MMR"/>
    <s v="Yes"/>
    <s v="Lower middle income"/>
    <s v="Conflict"/>
    <x v="1"/>
    <x v="0"/>
    <s v="Yes"/>
    <m/>
    <n v="0.39870998633852117"/>
    <x v="1"/>
    <s v="Yes"/>
    <s v="No"/>
    <s v="No"/>
    <m/>
    <s v="Yes"/>
  </r>
  <r>
    <x v="47"/>
    <x v="3"/>
    <s v="3180"/>
    <s v="Africa"/>
    <s v="Sub-Saharan Africa"/>
    <x v="0"/>
    <m/>
    <s v="NER"/>
    <s v="No"/>
    <s v="Low income"/>
    <s v="Conflict"/>
    <x v="1"/>
    <x v="0"/>
    <s v="Yes"/>
    <m/>
    <n v="0.12773015125311579"/>
    <x v="1"/>
    <s v="Yes"/>
    <s v="Yes"/>
    <s v="No"/>
    <s v="Western Africa"/>
    <s v="Yes"/>
  </r>
  <r>
    <x v="48"/>
    <x v="3"/>
    <s v="3210"/>
    <s v="Africa"/>
    <s v="Sub-Saharan Africa"/>
    <x v="0"/>
    <m/>
    <s v="NGA"/>
    <s v="Yes"/>
    <s v="Lower middle income"/>
    <s v="Conflict"/>
    <x v="0"/>
    <x v="0"/>
    <s v="Yes"/>
    <m/>
    <n v="0.27841796121433393"/>
    <x v="1"/>
    <s v="No"/>
    <s v="No"/>
    <s v="No"/>
    <s v="Western Africa"/>
    <s v="Yes"/>
  </r>
  <r>
    <x v="49"/>
    <x v="5"/>
    <s v="3300"/>
    <s v="Asia"/>
    <s v="Southern Asia"/>
    <x v="0"/>
    <m/>
    <s v="PAK"/>
    <s v="Yes"/>
    <s v="Lower middle income"/>
    <m/>
    <x v="1"/>
    <x v="0"/>
    <s v="Yes"/>
    <m/>
    <n v="0.24077486981131727"/>
    <x v="1"/>
    <s v="No"/>
    <s v="No"/>
    <s v="No"/>
    <m/>
    <s v="No"/>
  </r>
  <r>
    <x v="50"/>
    <x v="0"/>
    <s v="7050"/>
    <s v="Asia"/>
    <s v="Western Asia"/>
    <x v="0"/>
    <m/>
    <s v="PSE"/>
    <s v="No"/>
    <s v="Uncategorized"/>
    <s v="Conflict"/>
    <x v="0"/>
    <x v="0"/>
    <s v="Yes"/>
    <m/>
    <n v="0.87485349237834809"/>
    <x v="0"/>
    <s v="No"/>
    <s v="No"/>
    <s v="No"/>
    <m/>
    <s v="Yes"/>
  </r>
  <r>
    <x v="51"/>
    <x v="3"/>
    <s v="0690"/>
    <s v="Africa"/>
    <s v="Sub-Saharan Africa"/>
    <x v="0"/>
    <m/>
    <s v="CMR"/>
    <s v="Yes"/>
    <s v="Lower middle income"/>
    <s v="Conflict"/>
    <x v="1"/>
    <x v="0"/>
    <s v="Yes"/>
    <m/>
    <n v="0.23010648661002572"/>
    <x v="1"/>
    <s v="No"/>
    <s v="No"/>
    <s v="No"/>
    <s v="Middle Africa"/>
    <s v="Yes"/>
  </r>
  <r>
    <x v="52"/>
    <x v="6"/>
    <s v="6890"/>
    <s v="Africa"/>
    <s v="Sub-Saharan Africa"/>
    <x v="0"/>
    <m/>
    <s v="MOZ"/>
    <s v="Yes"/>
    <s v="Low income"/>
    <s v="Conflict"/>
    <x v="1"/>
    <x v="0"/>
    <s v="Yes"/>
    <m/>
    <n v="0.27671598121058039"/>
    <x v="1"/>
    <s v="Yes"/>
    <s v="No"/>
    <s v="No"/>
    <s v="Eastern Africa"/>
    <s v="Yes"/>
  </r>
  <r>
    <x v="53"/>
    <x v="6"/>
    <s v="3920"/>
    <s v="Africa"/>
    <s v="Sub-Saharan Africa"/>
    <x v="0"/>
    <m/>
    <s v="SOM"/>
    <s v="No"/>
    <s v="Low income"/>
    <s v="Conflict"/>
    <x v="0"/>
    <x v="0"/>
    <s v="Yes"/>
    <m/>
    <n v="0.4384177628789489"/>
    <x v="1"/>
    <s v="Yes"/>
    <s v="No"/>
    <s v="No"/>
    <s v="Eastern Africa"/>
    <s v="Yes"/>
  </r>
  <r>
    <x v="54"/>
    <x v="6"/>
    <s v="4040"/>
    <s v="Africa"/>
    <s v="Sub-Saharan Africa"/>
    <x v="0"/>
    <m/>
    <s v="SSD"/>
    <s v="No"/>
    <s v="Low income"/>
    <s v="Conflict"/>
    <x v="0"/>
    <x v="0"/>
    <s v="Yes"/>
    <m/>
    <n v="0.28864038282433485"/>
    <x v="1"/>
    <s v="Yes"/>
    <s v="Yes"/>
    <s v="No"/>
    <s v="Eastern Africa"/>
    <s v="Yes"/>
  </r>
  <r>
    <x v="55"/>
    <x v="0"/>
    <s v="4020"/>
    <s v="Africa"/>
    <s v="Northern Africa"/>
    <x v="0"/>
    <m/>
    <s v="SDN"/>
    <s v="No"/>
    <s v="Low income"/>
    <s v="Conflict"/>
    <x v="0"/>
    <x v="0"/>
    <s v="Yes"/>
    <m/>
    <n v="0.54298373850293702"/>
    <x v="1"/>
    <s v="Yes"/>
    <s v="No"/>
    <s v="No"/>
    <m/>
    <s v="Yes"/>
  </r>
  <r>
    <x v="56"/>
    <x v="0"/>
    <s v="4140"/>
    <s v="Asia"/>
    <s v="Western Asia"/>
    <x v="0"/>
    <m/>
    <s v="SYR"/>
    <s v="No"/>
    <s v="Low income"/>
    <s v="Conflict"/>
    <x v="0"/>
    <x v="0"/>
    <s v="Yes"/>
    <m/>
    <n v="0.61089601444465325"/>
    <x v="1"/>
    <s v="No"/>
    <s v="No"/>
    <s v="No"/>
    <m/>
    <s v="Yes"/>
  </r>
  <r>
    <x v="57"/>
    <x v="6"/>
    <s v="4380"/>
    <s v="Africa"/>
    <s v="Sub-Saharan Africa"/>
    <x v="0"/>
    <m/>
    <s v="UGA"/>
    <s v="Yes"/>
    <s v="Low income"/>
    <m/>
    <x v="1"/>
    <x v="0"/>
    <s v="Yes"/>
    <m/>
    <n v="0.17050988012654256"/>
    <x v="1"/>
    <s v="Yes"/>
    <s v="Yes"/>
    <s v="No"/>
    <s v="Eastern Africa"/>
    <s v="No"/>
  </r>
  <r>
    <x v="58"/>
    <x v="2"/>
    <s v="4710"/>
    <s v="Americas"/>
    <s v="Latin America and the Caribbean"/>
    <x v="0"/>
    <m/>
    <s v="VEN"/>
    <s v="No"/>
    <s v="Uncategorized"/>
    <s v="Institutional And Social Fragility"/>
    <x v="0"/>
    <x v="0"/>
    <s v="Yes"/>
    <m/>
    <n v="0.92868078882239713"/>
    <x v="1"/>
    <s v="No"/>
    <s v="No"/>
    <s v="No"/>
    <s v="South America"/>
    <s v="Yes"/>
  </r>
  <r>
    <x v="59"/>
    <x v="0"/>
    <s v="4920"/>
    <s v="Asia"/>
    <s v="Western Asia"/>
    <x v="0"/>
    <m/>
    <s v="YEM"/>
    <s v="No"/>
    <s v="Low income"/>
    <s v="Conflict"/>
    <x v="0"/>
    <x v="0"/>
    <s v="Yes"/>
    <m/>
    <n v="0.32216945028256178"/>
    <x v="1"/>
    <s v="Yes"/>
    <s v="No"/>
    <s v="No"/>
    <m/>
    <s v="Yes"/>
  </r>
  <r>
    <x v="60"/>
    <x v="6"/>
    <s v="6260"/>
    <s v="Africa"/>
    <s v="Sub-Saharan Africa"/>
    <x v="0"/>
    <m/>
    <s v="ZWE"/>
    <s v="Yes"/>
    <s v="Lower middle income"/>
    <s v="Institutional And Social Fragility"/>
    <x v="1"/>
    <x v="0"/>
    <s v="Yes"/>
    <m/>
    <n v="0.12067194229312173"/>
    <x v="1"/>
    <s v="No"/>
    <s v="Yes"/>
    <s v="No"/>
    <s v="Eastern Africa"/>
    <s v="No"/>
  </r>
  <r>
    <x v="61"/>
    <x v="1"/>
    <s v="0090"/>
    <s v="Europe"/>
    <s v="Southern Europe"/>
    <x v="0"/>
    <m/>
    <s v="ALB"/>
    <s v="No"/>
    <s v="Upper middle income"/>
    <m/>
    <x v="1"/>
    <x v="1"/>
    <m/>
    <m/>
    <n v="0.42843470604792894"/>
    <x v="0"/>
    <s v="No"/>
    <s v="No"/>
    <s v="No"/>
    <m/>
    <s v="No"/>
  </r>
  <r>
    <x v="62"/>
    <x v="0"/>
    <s v="0120"/>
    <s v="Africa"/>
    <s v="Northern Africa"/>
    <x v="0"/>
    <m/>
    <s v="DZA"/>
    <s v="No"/>
    <s v="Upper middle income"/>
    <m/>
    <x v="1"/>
    <x v="1"/>
    <m/>
    <m/>
    <n v="0.66153072095652576"/>
    <x v="1"/>
    <s v="No"/>
    <s v="No"/>
    <s v="No"/>
    <m/>
    <s v="No"/>
  </r>
  <r>
    <x v="63"/>
    <x v="6"/>
    <s v="6810"/>
    <s v="Africa"/>
    <s v="Sub-Saharan Africa"/>
    <x v="0"/>
    <m/>
    <s v="AGO"/>
    <s v="Yes"/>
    <s v="Lower middle income"/>
    <m/>
    <x v="1"/>
    <x v="1"/>
    <m/>
    <m/>
    <n v="0.26841921824602843"/>
    <x v="1"/>
    <s v="Yes"/>
    <s v="No"/>
    <s v="No"/>
    <s v="Middle Africa"/>
    <s v="No"/>
  </r>
  <r>
    <x v="64"/>
    <x v="2"/>
    <s v="0420RAM301"/>
    <s v="Americas"/>
    <s v="Latin America and the Caribbean"/>
    <x v="1"/>
    <s v="Eastern Caribbean multi-country programme (Barbados)"/>
    <s v="AIA"/>
    <s v="No"/>
    <s v="Uncategorized"/>
    <m/>
    <x v="1"/>
    <x v="1"/>
    <m/>
    <m/>
    <e v="#N/A"/>
    <x v="0"/>
    <s v="No"/>
    <s v="No"/>
    <s v="Yes"/>
    <s v="Caribbean"/>
    <s v="No"/>
  </r>
  <r>
    <x v="65"/>
    <x v="2"/>
    <s v="0420RAM302"/>
    <s v="Americas"/>
    <s v="Latin America and the Caribbean"/>
    <x v="1"/>
    <s v="Eastern Caribbean multi-country programme (Barbados)"/>
    <s v="ATG"/>
    <s v="No"/>
    <s v="High income"/>
    <m/>
    <x v="1"/>
    <x v="1"/>
    <m/>
    <m/>
    <e v="#N/A"/>
    <x v="0"/>
    <s v="No"/>
    <s v="No"/>
    <s v="Yes"/>
    <s v="Caribbean"/>
    <s v="No"/>
  </r>
  <r>
    <x v="66"/>
    <x v="2"/>
    <s v="0240"/>
    <s v="Americas"/>
    <s v="Latin America and the Caribbean"/>
    <x v="0"/>
    <m/>
    <s v="ARG"/>
    <s v="No"/>
    <s v="Upper middle income"/>
    <m/>
    <x v="1"/>
    <x v="1"/>
    <m/>
    <m/>
    <n v="2.9786294882597274E-3"/>
    <x v="0"/>
    <s v="No"/>
    <s v="No"/>
    <s v="No"/>
    <s v="South America"/>
    <s v="No"/>
  </r>
  <r>
    <x v="67"/>
    <x v="1"/>
    <s v="0310"/>
    <s v="Asia"/>
    <s v="Western Asia"/>
    <x v="0"/>
    <m/>
    <s v="AZE"/>
    <s v="No"/>
    <s v="Upper middle income"/>
    <m/>
    <x v="1"/>
    <x v="1"/>
    <m/>
    <m/>
    <n v="8.1553941546197592E-2"/>
    <x v="0"/>
    <s v="No"/>
    <s v="Yes"/>
    <s v="No"/>
    <m/>
    <s v="No"/>
  </r>
  <r>
    <x v="68"/>
    <x v="0"/>
    <s v="3780D00000"/>
    <s v="Asia"/>
    <s v="Western Asia"/>
    <x v="1"/>
    <s v="Gulf Area subregional programme (Saudi Arabia)"/>
    <s v="BHR"/>
    <s v="No"/>
    <s v="High income"/>
    <m/>
    <x v="1"/>
    <x v="1"/>
    <m/>
    <m/>
    <e v="#N/A"/>
    <x v="0"/>
    <s v="No"/>
    <s v="No"/>
    <s v="No"/>
    <m/>
    <s v="No"/>
  </r>
  <r>
    <x v="69"/>
    <x v="2"/>
    <s v="0420RAM300"/>
    <s v="Americas"/>
    <s v="Latin America and the Caribbean"/>
    <x v="1"/>
    <s v="Eastern Caribbean multi-country programme (Barbados)"/>
    <s v="BRB"/>
    <s v="No"/>
    <s v="High income"/>
    <m/>
    <x v="1"/>
    <x v="1"/>
    <m/>
    <m/>
    <n v="0.15658021327531313"/>
    <x v="0"/>
    <s v="No"/>
    <s v="No"/>
    <s v="Yes"/>
    <s v="Caribbean"/>
    <s v="No"/>
  </r>
  <r>
    <x v="69"/>
    <x v="2"/>
    <s v="0420"/>
    <s v="Americas"/>
    <s v="Latin America and the Caribbean"/>
    <x v="0"/>
    <m/>
    <s v="BRB"/>
    <s v="No"/>
    <s v="High income"/>
    <m/>
    <x v="1"/>
    <x v="1"/>
    <m/>
    <m/>
    <n v="0.15658021327531313"/>
    <x v="0"/>
    <s v="No"/>
    <s v="No"/>
    <s v="Yes"/>
    <s v="Caribbean"/>
    <s v="No"/>
  </r>
  <r>
    <x v="70"/>
    <x v="5"/>
    <s v="0490"/>
    <s v="Asia"/>
    <s v="Southern Asia"/>
    <x v="0"/>
    <m/>
    <s v="BTN"/>
    <s v="No"/>
    <s v="Lower middle income"/>
    <m/>
    <x v="1"/>
    <x v="1"/>
    <m/>
    <m/>
    <n v="6.0444759201410264E-2"/>
    <x v="0"/>
    <s v="No"/>
    <s v="Yes"/>
    <s v="No"/>
    <m/>
    <s v="No"/>
  </r>
  <r>
    <x v="71"/>
    <x v="1"/>
    <s v="0530"/>
    <s v="Europe"/>
    <s v="Southern Europe"/>
    <x v="0"/>
    <m/>
    <s v="BIH"/>
    <s v="No"/>
    <s v="Upper middle income"/>
    <m/>
    <x v="1"/>
    <x v="1"/>
    <m/>
    <m/>
    <n v="9.9348941935239118E-2"/>
    <x v="0"/>
    <s v="No"/>
    <s v="No"/>
    <s v="No"/>
    <m/>
    <s v="No"/>
  </r>
  <r>
    <x v="72"/>
    <x v="6"/>
    <s v="0520"/>
    <s v="Africa"/>
    <s v="Sub-Saharan Africa"/>
    <x v="0"/>
    <m/>
    <s v="BWA"/>
    <s v="Yes"/>
    <s v="Upper middle income"/>
    <m/>
    <x v="1"/>
    <x v="1"/>
    <m/>
    <m/>
    <n v="0.21384094614399785"/>
    <x v="0"/>
    <s v="No"/>
    <s v="Yes"/>
    <s v="No"/>
    <s v="Southern Africa"/>
    <s v="No"/>
  </r>
  <r>
    <x v="73"/>
    <x v="2"/>
    <s v="0420RAM303"/>
    <s v="Americas"/>
    <s v="Latin America and the Caribbean"/>
    <x v="1"/>
    <s v="Eastern Caribbean multi-country programme (Barbados)"/>
    <s v="VGB"/>
    <s v="No"/>
    <s v="High income"/>
    <m/>
    <x v="1"/>
    <x v="1"/>
    <m/>
    <m/>
    <e v="#N/A"/>
    <x v="0"/>
    <s v="No"/>
    <s v="No"/>
    <s v="Yes"/>
    <s v="Caribbean"/>
    <s v="No"/>
  </r>
  <r>
    <x v="74"/>
    <x v="6"/>
    <s v="0610"/>
    <s v="Africa"/>
    <s v="Sub-Saharan Africa"/>
    <x v="0"/>
    <m/>
    <s v="BDI"/>
    <s v="Yes"/>
    <s v="Low income"/>
    <s v="Institutional And Social Fragility"/>
    <x v="1"/>
    <x v="1"/>
    <m/>
    <m/>
    <n v="8.5646825042982003E-2"/>
    <x v="1"/>
    <s v="Yes"/>
    <s v="Yes"/>
    <s v="No"/>
    <s v="Eastern Africa"/>
    <s v="Yes"/>
  </r>
  <r>
    <x v="75"/>
    <x v="3"/>
    <s v="6820"/>
    <s v="Africa"/>
    <s v="Sub-Saharan Africa"/>
    <x v="0"/>
    <m/>
    <s v="CPV"/>
    <s v="No"/>
    <s v="Lower middle income"/>
    <m/>
    <x v="1"/>
    <x v="1"/>
    <m/>
    <m/>
    <n v="0.32185120038881138"/>
    <x v="0"/>
    <s v="No"/>
    <s v="No"/>
    <s v="Yes"/>
    <s v="Western Africa"/>
    <s v="No"/>
  </r>
  <r>
    <x v="76"/>
    <x v="7"/>
    <s v="0660"/>
    <s v="Asia"/>
    <s v="South-eastern Asia"/>
    <x v="0"/>
    <m/>
    <s v="KHM"/>
    <s v="No"/>
    <s v="Lower middle income"/>
    <m/>
    <x v="1"/>
    <x v="1"/>
    <m/>
    <m/>
    <n v="0.23233724911702131"/>
    <x v="0"/>
    <s v="Yes"/>
    <s v="No"/>
    <s v="No"/>
    <m/>
    <s v="No"/>
  </r>
  <r>
    <x v="77"/>
    <x v="7"/>
    <s v="0860"/>
    <s v="Asia"/>
    <s v="Eastern Asia"/>
    <x v="0"/>
    <m/>
    <s v="CHN"/>
    <s v="Yes"/>
    <s v="Upper middle income"/>
    <m/>
    <x v="1"/>
    <x v="1"/>
    <m/>
    <m/>
    <n v="1.8154251832193125E-4"/>
    <x v="0"/>
    <s v="No"/>
    <s v="No"/>
    <s v="No"/>
    <m/>
    <s v="No"/>
  </r>
  <r>
    <x v="78"/>
    <x v="6"/>
    <s v="6620"/>
    <s v="Africa"/>
    <s v="Sub-Saharan Africa"/>
    <x v="0"/>
    <m/>
    <s v="COM"/>
    <s v="No"/>
    <s v="Lower middle income"/>
    <s v="Institutional And Social Fragility"/>
    <x v="1"/>
    <x v="1"/>
    <m/>
    <m/>
    <n v="0.2494605821769672"/>
    <x v="0"/>
    <s v="Yes"/>
    <s v="No"/>
    <s v="Yes"/>
    <s v="Eastern Africa"/>
    <s v="No"/>
  </r>
  <r>
    <x v="79"/>
    <x v="3"/>
    <s v="3380"/>
    <s v="Africa"/>
    <s v="Sub-Saharan Africa"/>
    <x v="0"/>
    <m/>
    <s v="COG"/>
    <s v="No"/>
    <s v="Lower middle income"/>
    <s v="Institutional And Social Fragility"/>
    <x v="1"/>
    <x v="1"/>
    <m/>
    <m/>
    <n v="0.24047134454867664"/>
    <x v="0"/>
    <s v="No"/>
    <s v="No"/>
    <s v="No"/>
    <s v="Middle Africa"/>
    <s v="No"/>
  </r>
  <r>
    <x v="80"/>
    <x v="7"/>
    <s v="1430N00000"/>
    <s v="Oceania"/>
    <s v="Polynesia"/>
    <x v="1"/>
    <s v="Pacific Islands multi-country programme (Fiji)"/>
    <s v="COK"/>
    <s v="No"/>
    <s v="Uncategorized"/>
    <m/>
    <x v="1"/>
    <x v="1"/>
    <m/>
    <m/>
    <e v="#N/A"/>
    <x v="0"/>
    <s v="No"/>
    <s v="No"/>
    <s v="Yes"/>
    <m/>
    <s v="No"/>
  </r>
  <r>
    <x v="81"/>
    <x v="1"/>
    <s v="1030"/>
    <s v="Europe"/>
    <s v="Southern Europe"/>
    <x v="0"/>
    <m/>
    <s v="HRV"/>
    <s v="No"/>
    <s v="High income"/>
    <m/>
    <x v="1"/>
    <x v="1"/>
    <m/>
    <m/>
    <n v="0.16665486770760826"/>
    <x v="0"/>
    <s v="No"/>
    <s v="No"/>
    <s v="No"/>
    <m/>
    <s v="No"/>
  </r>
  <r>
    <x v="82"/>
    <x v="2"/>
    <s v="1050"/>
    <s v="Americas"/>
    <s v="Latin America and the Caribbean"/>
    <x v="0"/>
    <m/>
    <s v="CUB"/>
    <s v="No"/>
    <s v="Upper middle income"/>
    <m/>
    <x v="1"/>
    <x v="1"/>
    <m/>
    <m/>
    <n v="0.41909906828486576"/>
    <x v="0"/>
    <s v="No"/>
    <s v="No"/>
    <s v="Yes"/>
    <s v="Caribbean"/>
    <s v="No"/>
  </r>
  <r>
    <x v="83"/>
    <x v="0"/>
    <s v="6690"/>
    <s v="Africa"/>
    <s v="Sub-Saharan Africa"/>
    <x v="0"/>
    <m/>
    <s v="DJI"/>
    <s v="Yes"/>
    <s v="Lower middle income"/>
    <m/>
    <x v="1"/>
    <x v="1"/>
    <m/>
    <m/>
    <n v="0.23091634440325046"/>
    <x v="0"/>
    <s v="Yes"/>
    <s v="No"/>
    <s v="No"/>
    <s v="Eastern Africa"/>
    <s v="No"/>
  </r>
  <r>
    <x v="84"/>
    <x v="2"/>
    <s v="0420RAM304"/>
    <s v="Americas"/>
    <s v="Latin America and the Caribbean"/>
    <x v="1"/>
    <s v="Eastern Caribbean multi-country programme (Barbados)"/>
    <s v="DMA"/>
    <s v="No"/>
    <s v="Upper middle income"/>
    <m/>
    <x v="1"/>
    <x v="1"/>
    <m/>
    <m/>
    <e v="#N/A"/>
    <x v="0"/>
    <s v="No"/>
    <s v="No"/>
    <s v="Yes"/>
    <s v="Caribbean"/>
    <s v="No"/>
  </r>
  <r>
    <x v="85"/>
    <x v="7"/>
    <s v="5150"/>
    <s v="Asia"/>
    <s v="Eastern Asia"/>
    <x v="0"/>
    <m/>
    <s v="PRK"/>
    <s v="No"/>
    <s v="Low income"/>
    <m/>
    <x v="1"/>
    <x v="1"/>
    <m/>
    <m/>
    <n v="0.37050454253374338"/>
    <x v="0"/>
    <s v="No"/>
    <s v="No"/>
    <s v="No"/>
    <m/>
    <s v="No"/>
  </r>
  <r>
    <x v="86"/>
    <x v="3"/>
    <s v="1390"/>
    <s v="Africa"/>
    <s v="Sub-Saharan Africa"/>
    <x v="0"/>
    <m/>
    <s v="GNQ"/>
    <s v="No"/>
    <s v="Upper middle income"/>
    <m/>
    <x v="1"/>
    <x v="1"/>
    <m/>
    <m/>
    <n v="0.41697062930474388"/>
    <x v="0"/>
    <s v="No"/>
    <s v="No"/>
    <s v="No"/>
    <s v="Middle Africa"/>
    <s v="No"/>
  </r>
  <r>
    <x v="87"/>
    <x v="6"/>
    <s v="1420"/>
    <s v="Africa"/>
    <s v="Sub-Saharan Africa"/>
    <x v="0"/>
    <m/>
    <s v="ERI"/>
    <s v="No"/>
    <s v="Low income"/>
    <s v="Institutional And Social Fragility"/>
    <x v="0"/>
    <x v="1"/>
    <m/>
    <m/>
    <n v="0.29119507564993213"/>
    <x v="0"/>
    <s v="Yes"/>
    <s v="No"/>
    <s v="No"/>
    <s v="Eastern Africa"/>
    <s v="No"/>
  </r>
  <r>
    <x v="88"/>
    <x v="6"/>
    <s v="4030"/>
    <s v="Africa"/>
    <s v="Sub-Saharan Africa"/>
    <x v="0"/>
    <m/>
    <s v="SWZ"/>
    <s v="Yes"/>
    <s v="Lower middle income"/>
    <m/>
    <x v="1"/>
    <x v="1"/>
    <m/>
    <m/>
    <n v="0.21846465689998157"/>
    <x v="0"/>
    <s v="No"/>
    <s v="Yes"/>
    <s v="No"/>
    <s v="Southern Africa"/>
    <s v="No"/>
  </r>
  <r>
    <x v="89"/>
    <x v="7"/>
    <s v="1430B00000"/>
    <s v="Oceania"/>
    <s v="Melanesia"/>
    <x v="1"/>
    <s v="Pacific Islands multi-country programme (Fiji)"/>
    <s v="FJI"/>
    <s v="No"/>
    <s v="Upper middle income"/>
    <m/>
    <x v="1"/>
    <x v="1"/>
    <m/>
    <m/>
    <n v="0.31167369768286457"/>
    <x v="0"/>
    <s v="No"/>
    <s v="No"/>
    <s v="Yes"/>
    <m/>
    <s v="No"/>
  </r>
  <r>
    <x v="89"/>
    <x v="7"/>
    <s v="1430"/>
    <s v="Oceania"/>
    <s v="Melanesia"/>
    <x v="0"/>
    <m/>
    <s v="FJI"/>
    <s v="No"/>
    <s v="Upper middle income"/>
    <m/>
    <x v="1"/>
    <x v="1"/>
    <m/>
    <m/>
    <n v="0.31167369768286457"/>
    <x v="0"/>
    <s v="No"/>
    <s v="No"/>
    <s v="Yes"/>
    <m/>
    <s v="No"/>
  </r>
  <r>
    <x v="90"/>
    <x v="3"/>
    <s v="1530"/>
    <s v="Africa"/>
    <s v="Sub-Saharan Africa"/>
    <x v="0"/>
    <m/>
    <s v="GAB"/>
    <s v="No"/>
    <s v="Upper middle income"/>
    <m/>
    <x v="1"/>
    <x v="1"/>
    <m/>
    <m/>
    <n v="0.47188743268088212"/>
    <x v="0"/>
    <s v="No"/>
    <s v="No"/>
    <s v="No"/>
    <s v="Middle Africa"/>
    <s v="No"/>
  </r>
  <r>
    <x v="91"/>
    <x v="3"/>
    <s v="1560"/>
    <s v="Africa"/>
    <s v="Sub-Saharan Africa"/>
    <x v="0"/>
    <m/>
    <s v="GMB"/>
    <s v="No"/>
    <s v="Low income"/>
    <m/>
    <x v="1"/>
    <x v="1"/>
    <m/>
    <m/>
    <n v="9.9126863027052439E-2"/>
    <x v="0"/>
    <s v="Yes"/>
    <s v="No"/>
    <s v="No"/>
    <s v="Western Africa"/>
    <s v="No"/>
  </r>
  <r>
    <x v="92"/>
    <x v="1"/>
    <s v="1600"/>
    <s v="Asia"/>
    <s v="Western Asia"/>
    <x v="0"/>
    <m/>
    <s v="GEO"/>
    <s v="No"/>
    <s v="Upper middle income"/>
    <m/>
    <x v="1"/>
    <x v="1"/>
    <m/>
    <m/>
    <n v="8.8715065732366941E-2"/>
    <x v="0"/>
    <s v="No"/>
    <s v="No"/>
    <s v="No"/>
    <m/>
    <s v="No"/>
  </r>
  <r>
    <x v="93"/>
    <x v="1"/>
    <s v="1650"/>
    <s v="Europe"/>
    <s v="Southern Europe"/>
    <x v="0"/>
    <m/>
    <s v="GRC"/>
    <s v="No"/>
    <s v="High income"/>
    <m/>
    <x v="1"/>
    <x v="1"/>
    <m/>
    <m/>
    <n v="7.7880504286149066E-2"/>
    <x v="0"/>
    <s v="No"/>
    <s v="No"/>
    <s v="No"/>
    <m/>
    <s v="No"/>
  </r>
  <r>
    <x v="94"/>
    <x v="2"/>
    <s v="0420RAM305"/>
    <s v="Americas"/>
    <s v="Latin America and the Caribbean"/>
    <x v="1"/>
    <s v="Eastern Caribbean multi-country programme (Barbados)"/>
    <s v="GRD"/>
    <s v="No"/>
    <s v="Upper middle income"/>
    <m/>
    <x v="1"/>
    <x v="1"/>
    <m/>
    <m/>
    <e v="#N/A"/>
    <x v="0"/>
    <s v="No"/>
    <s v="No"/>
    <s v="Yes"/>
    <s v="Caribbean"/>
    <s v="No"/>
  </r>
  <r>
    <x v="95"/>
    <x v="3"/>
    <s v="1770"/>
    <s v="Africa"/>
    <s v="Sub-Saharan Africa"/>
    <x v="0"/>
    <m/>
    <s v="GIN"/>
    <s v="No"/>
    <s v="Lower middle income"/>
    <m/>
    <x v="1"/>
    <x v="1"/>
    <m/>
    <m/>
    <n v="0.11816157933583978"/>
    <x v="1"/>
    <s v="Yes"/>
    <s v="No"/>
    <s v="No"/>
    <s v="Western Africa"/>
    <s v="No"/>
  </r>
  <r>
    <x v="96"/>
    <x v="3"/>
    <s v="6850"/>
    <s v="Africa"/>
    <s v="Sub-Saharan Africa"/>
    <x v="0"/>
    <m/>
    <s v="GNB"/>
    <s v="No"/>
    <s v="Low income"/>
    <s v="Institutional And Social Fragility"/>
    <x v="1"/>
    <x v="1"/>
    <m/>
    <m/>
    <n v="0.13008990268852558"/>
    <x v="0"/>
    <s v="Yes"/>
    <s v="No"/>
    <s v="Yes"/>
    <s v="Western Africa"/>
    <s v="No"/>
  </r>
  <r>
    <x v="97"/>
    <x v="5"/>
    <s v="2040"/>
    <s v="Asia"/>
    <s v="Southern Asia"/>
    <x v="0"/>
    <m/>
    <s v="IND"/>
    <s v="Yes"/>
    <s v="Lower middle income"/>
    <m/>
    <x v="1"/>
    <x v="1"/>
    <m/>
    <m/>
    <n v="4.0287482434391453E-2"/>
    <x v="1"/>
    <s v="No"/>
    <s v="No"/>
    <s v="No"/>
    <m/>
    <s v="No"/>
  </r>
  <r>
    <x v="98"/>
    <x v="7"/>
    <s v="2070"/>
    <s v="Asia"/>
    <s v="South-eastern Asia"/>
    <x v="0"/>
    <m/>
    <s v="IDN"/>
    <s v="Yes"/>
    <s v="Upper middle income"/>
    <m/>
    <x v="1"/>
    <x v="1"/>
    <m/>
    <m/>
    <n v="0.24460471409687085"/>
    <x v="1"/>
    <s v="No"/>
    <s v="No"/>
    <s v="No"/>
    <m/>
    <s v="No"/>
  </r>
  <r>
    <x v="99"/>
    <x v="0"/>
    <s v="2100"/>
    <s v="Asia"/>
    <s v="Southern Asia"/>
    <x v="0"/>
    <m/>
    <s v="IRN"/>
    <s v="Yes"/>
    <s v="Upper middle income"/>
    <m/>
    <x v="1"/>
    <x v="1"/>
    <m/>
    <m/>
    <n v="0.57957709249510769"/>
    <x v="0"/>
    <s v="No"/>
    <s v="No"/>
    <s v="No"/>
    <m/>
    <s v="No"/>
  </r>
  <r>
    <x v="100"/>
    <x v="2"/>
    <s v="2280"/>
    <s v="Americas"/>
    <s v="Latin America and the Caribbean"/>
    <x v="0"/>
    <m/>
    <s v="JAM"/>
    <s v="No"/>
    <s v="Upper middle income"/>
    <m/>
    <x v="1"/>
    <x v="1"/>
    <m/>
    <m/>
    <n v="3.3389975708414357E-2"/>
    <x v="0"/>
    <s v="No"/>
    <s v="No"/>
    <s v="Yes"/>
    <s v="Caribbean"/>
    <s v="No"/>
  </r>
  <r>
    <x v="101"/>
    <x v="1"/>
    <s v="2390"/>
    <s v="Asia"/>
    <s v="Central Asia"/>
    <x v="0"/>
    <m/>
    <s v="KAZ"/>
    <s v="No"/>
    <s v="Upper middle income"/>
    <m/>
    <x v="1"/>
    <x v="1"/>
    <m/>
    <m/>
    <n v="4.7808707346624457E-2"/>
    <x v="0"/>
    <s v="No"/>
    <s v="Yes"/>
    <s v="No"/>
    <m/>
    <s v="No"/>
  </r>
  <r>
    <x v="102"/>
    <x v="7"/>
    <s v="1430F00000"/>
    <s v="Oceania"/>
    <s v="Micronesia"/>
    <x v="1"/>
    <s v="Pacific Islands multi-country programme (Fiji)"/>
    <s v="KIR"/>
    <s v="No"/>
    <s v="Lower middle income"/>
    <s v="Institutional And Social Fragility"/>
    <x v="1"/>
    <x v="1"/>
    <m/>
    <m/>
    <e v="#N/A"/>
    <x v="0"/>
    <s v="Yes"/>
    <s v="No"/>
    <s v="Yes"/>
    <m/>
    <s v="No"/>
  </r>
  <r>
    <x v="103"/>
    <x v="1"/>
    <s v="8971"/>
    <s v="Europe"/>
    <s v="Southern Europe"/>
    <x v="0"/>
    <m/>
    <s v="XKX "/>
    <s v="No"/>
    <s v="Upper middle income"/>
    <s v="Institutional And Social Fragility"/>
    <x v="1"/>
    <x v="1"/>
    <m/>
    <m/>
    <n v="1.9090356793681443E-2"/>
    <x v="0"/>
    <s v="No"/>
    <s v="No"/>
    <s v="No"/>
    <m/>
    <s v="No"/>
  </r>
  <r>
    <x v="104"/>
    <x v="0"/>
    <s v="3780F00000"/>
    <s v="Asia"/>
    <s v="Western Asia"/>
    <x v="1"/>
    <s v="Gulf Area subregional programme (Saudi Arabia)"/>
    <s v="KWT"/>
    <s v="No"/>
    <s v="High income"/>
    <m/>
    <x v="1"/>
    <x v="1"/>
    <m/>
    <m/>
    <e v="#N/A"/>
    <x v="0"/>
    <s v="No"/>
    <s v="No"/>
    <s v="No"/>
    <m/>
    <s v="No"/>
  </r>
  <r>
    <x v="105"/>
    <x v="7"/>
    <s v="2460"/>
    <s v="Asia"/>
    <s v="South-eastern Asia"/>
    <x v="0"/>
    <m/>
    <s v="LAO"/>
    <s v="No"/>
    <s v="Lower middle income"/>
    <m/>
    <x v="1"/>
    <x v="1"/>
    <m/>
    <m/>
    <n v="0.15647489625437347"/>
    <x v="0"/>
    <s v="Yes"/>
    <s v="Yes"/>
    <s v="No"/>
    <m/>
    <s v="No"/>
  </r>
  <r>
    <x v="106"/>
    <x v="6"/>
    <s v="2520"/>
    <s v="Africa"/>
    <s v="Sub-Saharan Africa"/>
    <x v="0"/>
    <m/>
    <s v="LSO"/>
    <s v="Yes"/>
    <s v="Lower middle income"/>
    <m/>
    <x v="1"/>
    <x v="1"/>
    <m/>
    <m/>
    <n v="0.33993091483540838"/>
    <x v="0"/>
    <s v="Yes"/>
    <s v="Yes"/>
    <s v="No"/>
    <s v="Southern Africa"/>
    <s v="No"/>
  </r>
  <r>
    <x v="107"/>
    <x v="3"/>
    <s v="2550"/>
    <s v="Africa"/>
    <s v="Sub-Saharan Africa"/>
    <x v="0"/>
    <m/>
    <s v="LBR"/>
    <s v="No"/>
    <s v="Low income"/>
    <m/>
    <x v="1"/>
    <x v="1"/>
    <m/>
    <m/>
    <n v="0.21681211662992433"/>
    <x v="1"/>
    <s v="Yes"/>
    <s v="No"/>
    <s v="No"/>
    <s v="Western Africa"/>
    <s v="No"/>
  </r>
  <r>
    <x v="108"/>
    <x v="0"/>
    <s v="2580"/>
    <s v="Africa"/>
    <s v="Northern Africa"/>
    <x v="0"/>
    <m/>
    <s v="LBY"/>
    <s v="No"/>
    <s v="Upper middle income"/>
    <s v="Institutional And Social Fragility"/>
    <x v="0"/>
    <x v="1"/>
    <m/>
    <m/>
    <n v="0.55944999053265354"/>
    <x v="0"/>
    <s v="No"/>
    <s v="No"/>
    <s v="No"/>
    <m/>
    <s v="No"/>
  </r>
  <r>
    <x v="109"/>
    <x v="7"/>
    <s v="2700"/>
    <s v="Asia"/>
    <s v="South-eastern Asia"/>
    <x v="0"/>
    <m/>
    <s v="MYS"/>
    <s v="No"/>
    <s v="Upper middle income"/>
    <m/>
    <x v="1"/>
    <x v="1"/>
    <m/>
    <m/>
    <n v="2.6750325539149538E-4"/>
    <x v="0"/>
    <s v="No"/>
    <s v="No"/>
    <s v="No"/>
    <m/>
    <s v="No"/>
  </r>
  <r>
    <x v="110"/>
    <x v="5"/>
    <s v="2740"/>
    <s v="Asia"/>
    <s v="Southern Asia"/>
    <x v="0"/>
    <m/>
    <s v="MDV"/>
    <s v="No"/>
    <s v="Upper middle income"/>
    <m/>
    <x v="1"/>
    <x v="1"/>
    <m/>
    <m/>
    <n v="-3.7165105834155686E-2"/>
    <x v="0"/>
    <s v="No"/>
    <s v="No"/>
    <s v="Yes"/>
    <m/>
    <s v="No"/>
  </r>
  <r>
    <x v="111"/>
    <x v="7"/>
    <s v="1430G00000"/>
    <s v="Oceania"/>
    <s v="Micronesia"/>
    <x v="1"/>
    <s v="Pacific Islands multi-country programme (Fiji)"/>
    <s v="MHL"/>
    <s v="No"/>
    <s v="Upper middle income"/>
    <s v="Institutional And Social Fragility"/>
    <x v="1"/>
    <x v="1"/>
    <m/>
    <m/>
    <e v="#N/A"/>
    <x v="0"/>
    <s v="No"/>
    <s v="No"/>
    <s v="Yes"/>
    <m/>
    <s v="No"/>
  </r>
  <r>
    <x v="112"/>
    <x v="3"/>
    <s v="2820"/>
    <s v="Africa"/>
    <s v="Sub-Saharan Africa"/>
    <x v="0"/>
    <m/>
    <s v="MRT"/>
    <s v="No"/>
    <s v="Lower middle income"/>
    <m/>
    <x v="1"/>
    <x v="1"/>
    <m/>
    <m/>
    <n v="8.206620462773398E-2"/>
    <x v="1"/>
    <s v="Yes"/>
    <s v="No"/>
    <s v="No"/>
    <s v="Western Africa"/>
    <s v="No"/>
  </r>
  <r>
    <x v="113"/>
    <x v="7"/>
    <s v="1430H00000"/>
    <s v="Oceania"/>
    <s v="Micronesia"/>
    <x v="1"/>
    <s v="Pacific Islands multi-country programme (Fiji)"/>
    <s v="FSM"/>
    <s v="No"/>
    <s v="Lower middle income"/>
    <s v="Institutional And Social Fragility"/>
    <x v="1"/>
    <x v="1"/>
    <m/>
    <m/>
    <e v="#N/A"/>
    <x v="0"/>
    <s v="No"/>
    <s v="No"/>
    <s v="Yes"/>
    <m/>
    <s v="No"/>
  </r>
  <r>
    <x v="114"/>
    <x v="7"/>
    <s v="2880"/>
    <s v="Asia"/>
    <s v="Eastern Asia"/>
    <x v="0"/>
    <m/>
    <s v="MNG"/>
    <s v="No"/>
    <s v="Upper middle income"/>
    <m/>
    <x v="1"/>
    <x v="1"/>
    <m/>
    <m/>
    <n v="0.31042177853020292"/>
    <x v="0"/>
    <s v="No"/>
    <s v="Yes"/>
    <s v="No"/>
    <m/>
    <s v="No"/>
  </r>
  <r>
    <x v="115"/>
    <x v="2"/>
    <s v="0420RAM306"/>
    <s v="Americas"/>
    <s v="Latin America and the Caribbean"/>
    <x v="1"/>
    <s v="Eastern Caribbean multi-country programme (Barbados)"/>
    <s v="MSR"/>
    <s v="No"/>
    <s v="Uncategorized"/>
    <m/>
    <x v="1"/>
    <x v="1"/>
    <m/>
    <m/>
    <e v="#N/A"/>
    <x v="0"/>
    <s v="No"/>
    <s v="No"/>
    <s v="Yes"/>
    <s v="Caribbean"/>
    <s v="No"/>
  </r>
  <r>
    <x v="116"/>
    <x v="0"/>
    <s v="2910"/>
    <s v="Africa"/>
    <s v="Northern Africa"/>
    <x v="0"/>
    <m/>
    <s v="MAR"/>
    <s v="No"/>
    <s v="Lower middle income"/>
    <m/>
    <x v="1"/>
    <x v="1"/>
    <m/>
    <m/>
    <n v="0.14073563480623816"/>
    <x v="0"/>
    <s v="No"/>
    <s v="No"/>
    <s v="No"/>
    <m/>
    <s v="No"/>
  </r>
  <r>
    <x v="117"/>
    <x v="6"/>
    <s v="6980"/>
    <s v="Africa"/>
    <s v="Sub-Saharan Africa"/>
    <x v="0"/>
    <m/>
    <s v="NAM"/>
    <s v="Yes"/>
    <s v="Upper middle income"/>
    <m/>
    <x v="1"/>
    <x v="1"/>
    <m/>
    <m/>
    <n v="0.2288970154428846"/>
    <x v="0"/>
    <s v="No"/>
    <s v="No"/>
    <s v="No"/>
    <s v="Southern Africa"/>
    <s v="No"/>
  </r>
  <r>
    <x v="118"/>
    <x v="7"/>
    <s v="1430I00000"/>
    <s v="Oceania"/>
    <s v="Micronesia"/>
    <x v="1"/>
    <s v="Pacific Islands multi-country programme (Fiji)"/>
    <s v="NRU"/>
    <s v="No"/>
    <s v="High income"/>
    <m/>
    <x v="1"/>
    <x v="1"/>
    <m/>
    <m/>
    <e v="#N/A"/>
    <x v="0"/>
    <s v="No"/>
    <s v="No"/>
    <s v="Yes"/>
    <m/>
    <s v="No"/>
  </r>
  <r>
    <x v="119"/>
    <x v="5"/>
    <s v="2970"/>
    <s v="Asia"/>
    <s v="Southern Asia"/>
    <x v="0"/>
    <m/>
    <s v="NPL"/>
    <s v="No"/>
    <s v="Lower middle income"/>
    <m/>
    <x v="1"/>
    <x v="1"/>
    <m/>
    <m/>
    <n v="0.15643975281637776"/>
    <x v="1"/>
    <s v="Yes"/>
    <s v="Yes"/>
    <s v="No"/>
    <m/>
    <s v="No"/>
  </r>
  <r>
    <x v="120"/>
    <x v="7"/>
    <s v="1430M00000"/>
    <s v="Oceania"/>
    <s v="Polynesia"/>
    <x v="1"/>
    <s v="Pacific Islands multi-country programme (Fiji)"/>
    <s v="NIU"/>
    <s v="No"/>
    <s v="Uncategorized"/>
    <m/>
    <x v="1"/>
    <x v="1"/>
    <m/>
    <m/>
    <e v="#N/A"/>
    <x v="0"/>
    <s v="No"/>
    <s v="No"/>
    <s v="Yes"/>
    <m/>
    <s v="No"/>
  </r>
  <r>
    <x v="121"/>
    <x v="1"/>
    <s v="2660"/>
    <s v="Europe"/>
    <s v="Southern Europe"/>
    <x v="0"/>
    <m/>
    <s v="MKD"/>
    <s v="No"/>
    <s v="Upper middle income"/>
    <m/>
    <x v="1"/>
    <x v="1"/>
    <m/>
    <m/>
    <n v="0"/>
    <x v="0"/>
    <s v="No"/>
    <s v="Yes"/>
    <s v="No"/>
    <m/>
    <s v="No"/>
  </r>
  <r>
    <x v="122"/>
    <x v="0"/>
    <s v="6350"/>
    <s v="Asia"/>
    <s v="Western Asia"/>
    <x v="0"/>
    <m/>
    <s v="OMN"/>
    <s v="No"/>
    <s v="High income"/>
    <m/>
    <x v="1"/>
    <x v="1"/>
    <m/>
    <m/>
    <n v="0"/>
    <x v="0"/>
    <s v="No"/>
    <s v="No"/>
    <s v="No"/>
    <m/>
    <s v="No"/>
  </r>
  <r>
    <x v="123"/>
    <x v="7"/>
    <s v="1430J00000"/>
    <s v="Oceania"/>
    <s v="Micronesia"/>
    <x v="1"/>
    <s v="Pacific Islands multi-country programme (Fiji)"/>
    <s v="PLW"/>
    <s v="No"/>
    <s v="High income"/>
    <m/>
    <x v="1"/>
    <x v="1"/>
    <m/>
    <m/>
    <e v="#N/A"/>
    <x v="0"/>
    <s v="No"/>
    <s v="No"/>
    <s v="Yes"/>
    <m/>
    <s v="No"/>
  </r>
  <r>
    <x v="124"/>
    <x v="7"/>
    <s v="6490"/>
    <s v="Oceania"/>
    <s v="Melanesia"/>
    <x v="0"/>
    <m/>
    <s v="PNG"/>
    <s v="Yes"/>
    <s v="Lower middle income"/>
    <s v="Institutional And Social Fragility"/>
    <x v="1"/>
    <x v="1"/>
    <m/>
    <m/>
    <n v="0.19591024508096511"/>
    <x v="1"/>
    <s v="No"/>
    <s v="No"/>
    <s v="Yes"/>
    <m/>
    <s v="No"/>
  </r>
  <r>
    <x v="125"/>
    <x v="2"/>
    <s v="3360"/>
    <s v="Americas"/>
    <s v="Latin America and the Caribbean"/>
    <x v="0"/>
    <m/>
    <s v="PRY"/>
    <s v="No"/>
    <s v="Upper middle income"/>
    <m/>
    <x v="1"/>
    <x v="1"/>
    <m/>
    <m/>
    <n v="-6.3795763920584444E-3"/>
    <x v="0"/>
    <s v="No"/>
    <s v="Yes"/>
    <s v="No"/>
    <s v="South America"/>
    <s v="No"/>
  </r>
  <r>
    <x v="126"/>
    <x v="7"/>
    <s v="3420"/>
    <s v="Asia"/>
    <s v="South-eastern Asia"/>
    <x v="0"/>
    <m/>
    <s v="PHL"/>
    <s v="Yes"/>
    <s v="Lower middle income"/>
    <m/>
    <x v="1"/>
    <x v="1"/>
    <m/>
    <m/>
    <n v="0.22527886749217452"/>
    <x v="1"/>
    <s v="No"/>
    <s v="No"/>
    <s v="No"/>
    <m/>
    <s v="No"/>
  </r>
  <r>
    <x v="127"/>
    <x v="0"/>
    <s v="3780G00000"/>
    <s v="Asia"/>
    <s v="Western Asia"/>
    <x v="1"/>
    <s v="Gulf Area subregional programme (Saudi Arabia)"/>
    <s v="QAT"/>
    <s v="No"/>
    <s v="High income"/>
    <m/>
    <x v="1"/>
    <x v="1"/>
    <m/>
    <m/>
    <e v="#N/A"/>
    <x v="0"/>
    <s v="No"/>
    <s v="No"/>
    <s v="No"/>
    <m/>
    <s v="No"/>
  </r>
  <r>
    <x v="128"/>
    <x v="1"/>
    <s v="4630"/>
    <s v="Asia"/>
    <s v="Central Asia"/>
    <x v="0"/>
    <m/>
    <s v="UZB"/>
    <s v="Yes"/>
    <s v="Lower middle income"/>
    <m/>
    <x v="1"/>
    <x v="1"/>
    <m/>
    <m/>
    <n v="0.25717264899775172"/>
    <x v="0"/>
    <s v="No"/>
    <s v="Yes"/>
    <s v="No"/>
    <m/>
    <s v="No"/>
  </r>
  <r>
    <x v="129"/>
    <x v="1"/>
    <s v="2450"/>
    <s v="Asia"/>
    <s v="Central Asia"/>
    <x v="0"/>
    <m/>
    <s v="KGZ"/>
    <s v="No"/>
    <s v="Lower middle income"/>
    <m/>
    <x v="1"/>
    <x v="1"/>
    <m/>
    <m/>
    <n v="0.25265551426849836"/>
    <x v="0"/>
    <s v="No"/>
    <s v="Yes"/>
    <s v="No"/>
    <m/>
    <s v="No"/>
  </r>
  <r>
    <x v="130"/>
    <x v="1"/>
    <s v="8950"/>
    <s v="Europe"/>
    <s v="Southern Europe"/>
    <x v="0"/>
    <m/>
    <s v="MNE"/>
    <s v="No"/>
    <s v="Upper middle income"/>
    <m/>
    <x v="1"/>
    <x v="1"/>
    <m/>
    <m/>
    <n v="0.155386341188327"/>
    <x v="0"/>
    <s v="No"/>
    <s v="No"/>
    <s v="No"/>
    <m/>
    <s v="No"/>
  </r>
  <r>
    <x v="131"/>
    <x v="6"/>
    <s v="3750"/>
    <s v="Africa"/>
    <s v="Sub-Saharan Africa"/>
    <x v="0"/>
    <m/>
    <s v="RWA"/>
    <s v="Yes"/>
    <s v="Low income"/>
    <m/>
    <x v="1"/>
    <x v="1"/>
    <m/>
    <m/>
    <n v="6.2685625907517251E-2"/>
    <x v="1"/>
    <s v="Yes"/>
    <s v="Yes"/>
    <s v="No"/>
    <s v="Eastern Africa"/>
    <s v="No"/>
  </r>
  <r>
    <x v="132"/>
    <x v="7"/>
    <s v="1430C00000"/>
    <s v="Oceania"/>
    <s v="Polynesia"/>
    <x v="1"/>
    <s v="Pacific Islands multi-country programme (Fiji)"/>
    <s v="WSM"/>
    <s v="No"/>
    <s v="Lower middle income"/>
    <m/>
    <x v="1"/>
    <x v="1"/>
    <m/>
    <m/>
    <e v="#N/A"/>
    <x v="0"/>
    <s v="No"/>
    <s v="No"/>
    <s v="Yes"/>
    <m/>
    <s v="No"/>
  </r>
  <r>
    <x v="133"/>
    <x v="3"/>
    <s v="6830"/>
    <s v="Africa"/>
    <s v="Sub-Saharan Africa"/>
    <x v="0"/>
    <m/>
    <s v="STP"/>
    <s v="No"/>
    <s v="Lower middle income"/>
    <s v="Institutional And Social Fragility"/>
    <x v="1"/>
    <x v="1"/>
    <m/>
    <m/>
    <n v="7.1537648718531313E-2"/>
    <x v="0"/>
    <s v="Yes"/>
    <s v="No"/>
    <s v="Yes"/>
    <s v="Middle Africa"/>
    <s v="No"/>
  </r>
  <r>
    <x v="134"/>
    <x v="0"/>
    <s v="3780RAM301"/>
    <s v="Asia"/>
    <s v="Western Asia"/>
    <x v="1"/>
    <s v="Gulf Area subregional programme (Saudi Arabia)"/>
    <s v="SAU"/>
    <s v="No"/>
    <s v="High income"/>
    <m/>
    <x v="1"/>
    <x v="1"/>
    <m/>
    <m/>
    <n v="1.1985928820710946E-5"/>
    <x v="0"/>
    <s v="No"/>
    <s v="No"/>
    <s v="No"/>
    <m/>
    <s v="No"/>
  </r>
  <r>
    <x v="134"/>
    <x v="0"/>
    <s v="3780"/>
    <s v="Asia"/>
    <s v="Western Asia"/>
    <x v="0"/>
    <m/>
    <s v="SAU"/>
    <s v="No"/>
    <s v="High income"/>
    <m/>
    <x v="1"/>
    <x v="1"/>
    <m/>
    <m/>
    <n v="1.1985928820710946E-5"/>
    <x v="0"/>
    <s v="No"/>
    <s v="No"/>
    <s v="No"/>
    <m/>
    <s v="No"/>
  </r>
  <r>
    <x v="135"/>
    <x v="3"/>
    <s v="3810"/>
    <s v="Africa"/>
    <s v="Sub-Saharan Africa"/>
    <x v="0"/>
    <m/>
    <s v="SEN"/>
    <s v="No"/>
    <s v="Lower middle income"/>
    <m/>
    <x v="1"/>
    <x v="1"/>
    <m/>
    <m/>
    <n v="9.0358320664285355E-2"/>
    <x v="1"/>
    <s v="Yes"/>
    <s v="No"/>
    <s v="No"/>
    <s v="Western Africa"/>
    <s v="No"/>
  </r>
  <r>
    <x v="136"/>
    <x v="1"/>
    <s v="8970"/>
    <s v="Europe"/>
    <s v="Southern Europe"/>
    <x v="0"/>
    <m/>
    <s v="SRB"/>
    <s v="No"/>
    <s v="Upper middle income"/>
    <m/>
    <x v="1"/>
    <x v="1"/>
    <m/>
    <m/>
    <n v="8.3867488870007514E-2"/>
    <x v="0"/>
    <s v="No"/>
    <s v="No"/>
    <s v="No"/>
    <m/>
    <s v="No"/>
  </r>
  <r>
    <x v="137"/>
    <x v="3"/>
    <s v="3900"/>
    <s v="Africa"/>
    <s v="Sub-Saharan Africa"/>
    <x v="0"/>
    <m/>
    <s v="SLE"/>
    <s v="No"/>
    <s v="Low income"/>
    <m/>
    <x v="1"/>
    <x v="1"/>
    <m/>
    <m/>
    <n v="0.1327334330420456"/>
    <x v="1"/>
    <s v="Yes"/>
    <s v="No"/>
    <s v="No"/>
    <s v="Western Africa"/>
    <s v="No"/>
  </r>
  <r>
    <x v="138"/>
    <x v="7"/>
    <s v="1430D00000"/>
    <s v="Oceania"/>
    <s v="Melanesia"/>
    <x v="1"/>
    <s v="Pacific Islands multi-country programme (Fiji)"/>
    <s v="SLB"/>
    <s v="No"/>
    <s v="Lower middle income"/>
    <s v="Institutional And Social Fragility"/>
    <x v="1"/>
    <x v="1"/>
    <m/>
    <m/>
    <e v="#N/A"/>
    <x v="0"/>
    <s v="Yes"/>
    <s v="No"/>
    <s v="Yes"/>
    <m/>
    <s v="No"/>
  </r>
  <r>
    <x v="139"/>
    <x v="6"/>
    <s v="3930"/>
    <s v="Africa"/>
    <s v="Sub-Saharan Africa"/>
    <x v="0"/>
    <m/>
    <s v="ZAF"/>
    <s v="Yes"/>
    <s v="Upper middle income"/>
    <m/>
    <x v="1"/>
    <x v="1"/>
    <m/>
    <m/>
    <n v="0.10485795090544417"/>
    <x v="0"/>
    <s v="No"/>
    <s v="No"/>
    <s v="No"/>
    <s v="Southern Africa"/>
    <s v="No"/>
  </r>
  <r>
    <x v="140"/>
    <x v="5"/>
    <s v="0780"/>
    <s v="Asia"/>
    <s v="Southern Asia"/>
    <x v="0"/>
    <m/>
    <s v="LKA"/>
    <s v="No"/>
    <s v="Lower middle income"/>
    <m/>
    <x v="1"/>
    <x v="1"/>
    <m/>
    <m/>
    <n v="0.66538581424577681"/>
    <x v="0"/>
    <s v="No"/>
    <s v="No"/>
    <s v="No"/>
    <m/>
    <s v="No"/>
  </r>
  <r>
    <x v="141"/>
    <x v="2"/>
    <s v="0420RAM307"/>
    <s v="Americas"/>
    <s v="Latin America and the Caribbean"/>
    <x v="1"/>
    <s v="Eastern Caribbean multi-country programme (Barbados)"/>
    <s v="KNA"/>
    <s v="No"/>
    <s v="High income"/>
    <m/>
    <x v="1"/>
    <x v="1"/>
    <m/>
    <m/>
    <e v="#N/A"/>
    <x v="0"/>
    <s v="No"/>
    <s v="No"/>
    <s v="Yes"/>
    <s v="Caribbean"/>
    <s v="No"/>
  </r>
  <r>
    <x v="142"/>
    <x v="2"/>
    <s v="0420RAM308"/>
    <s v="Americas"/>
    <s v="Latin America and the Caribbean"/>
    <x v="1"/>
    <s v="Eastern Caribbean multi-country programme (Barbados)"/>
    <s v="LCA"/>
    <s v="No"/>
    <s v="Upper middle income"/>
    <m/>
    <x v="1"/>
    <x v="1"/>
    <m/>
    <m/>
    <e v="#N/A"/>
    <x v="0"/>
    <s v="No"/>
    <s v="No"/>
    <s v="Yes"/>
    <s v="Caribbean"/>
    <s v="No"/>
  </r>
  <r>
    <x v="143"/>
    <x v="2"/>
    <s v="0420RAM309"/>
    <s v="Americas"/>
    <s v="Latin America and the Caribbean"/>
    <x v="1"/>
    <s v="Eastern Caribbean multi-country programme (Barbados)"/>
    <s v="VCT"/>
    <s v="No"/>
    <s v="Upper middle income"/>
    <m/>
    <x v="1"/>
    <x v="1"/>
    <m/>
    <m/>
    <e v="#N/A"/>
    <x v="0"/>
    <s v="No"/>
    <s v="No"/>
    <s v="Yes"/>
    <s v="Caribbean"/>
    <s v="No"/>
  </r>
  <r>
    <x v="144"/>
    <x v="2"/>
    <s v="1800C00000"/>
    <s v="Americas"/>
    <s v="Latin America and the Caribbean"/>
    <x v="1"/>
    <s v="Guyana and Suriname country programme (Guyana)"/>
    <s v="SUR"/>
    <s v="No"/>
    <s v="Upper middle income"/>
    <m/>
    <x v="1"/>
    <x v="1"/>
    <m/>
    <m/>
    <e v="#N/A"/>
    <x v="0"/>
    <s v="No"/>
    <s v="No"/>
    <s v="Yes"/>
    <s v="South America"/>
    <s v="No"/>
  </r>
  <r>
    <x v="145"/>
    <x v="1"/>
    <s v="4150"/>
    <s v="Asia"/>
    <s v="Central Asia"/>
    <x v="0"/>
    <m/>
    <s v="TJK"/>
    <s v="No"/>
    <s v="Lower middle income"/>
    <m/>
    <x v="1"/>
    <x v="1"/>
    <m/>
    <m/>
    <n v="8.9625052968326499E-2"/>
    <x v="0"/>
    <s v="No"/>
    <s v="Yes"/>
    <s v="No"/>
    <m/>
    <s v="No"/>
  </r>
  <r>
    <x v="146"/>
    <x v="7"/>
    <s v="4200"/>
    <s v="Asia"/>
    <s v="South-eastern Asia"/>
    <x v="0"/>
    <m/>
    <s v="THA"/>
    <s v="No"/>
    <s v="Upper middle income"/>
    <m/>
    <x v="1"/>
    <x v="1"/>
    <m/>
    <m/>
    <n v="4.9986023550352539E-2"/>
    <x v="0"/>
    <s v="No"/>
    <s v="No"/>
    <s v="No"/>
    <m/>
    <s v="No"/>
  </r>
  <r>
    <x v="147"/>
    <x v="7"/>
    <s v="7060"/>
    <s v="Asia"/>
    <s v="South-eastern Asia"/>
    <x v="0"/>
    <m/>
    <s v="TLS"/>
    <s v="No"/>
    <s v="Lower middle income"/>
    <s v="Institutional And Social Fragility"/>
    <x v="1"/>
    <x v="1"/>
    <m/>
    <m/>
    <n v="0.3061891028489232"/>
    <x v="0"/>
    <s v="Yes"/>
    <s v="No"/>
    <s v="Yes"/>
    <m/>
    <s v="No"/>
  </r>
  <r>
    <x v="148"/>
    <x v="7"/>
    <s v="1430O00000"/>
    <s v="Oceania"/>
    <s v="Polynesia"/>
    <x v="1"/>
    <s v="Pacific Islands multi-country programme (Fiji)"/>
    <s v="TKL"/>
    <s v="No"/>
    <s v="Uncategorized"/>
    <m/>
    <x v="1"/>
    <x v="1"/>
    <m/>
    <m/>
    <e v="#N/A"/>
    <x v="0"/>
    <s v="No"/>
    <s v="No"/>
    <s v="No"/>
    <m/>
    <s v="No"/>
  </r>
  <r>
    <x v="149"/>
    <x v="7"/>
    <s v="1430K00000"/>
    <s v="Oceania"/>
    <s v="Polynesia"/>
    <x v="1"/>
    <s v="Pacific Islands multi-country programme (Fiji)"/>
    <s v="TON"/>
    <s v="No"/>
    <s v="Upper middle income"/>
    <m/>
    <x v="1"/>
    <x v="1"/>
    <m/>
    <m/>
    <e v="#N/A"/>
    <x v="0"/>
    <s v="No"/>
    <s v="No"/>
    <s v="Yes"/>
    <m/>
    <s v="No"/>
  </r>
  <r>
    <x v="150"/>
    <x v="0"/>
    <s v="4320"/>
    <s v="Africa"/>
    <s v="Northern Africa"/>
    <x v="0"/>
    <m/>
    <s v="TUN"/>
    <s v="No"/>
    <s v="Lower middle income"/>
    <m/>
    <x v="1"/>
    <x v="1"/>
    <m/>
    <m/>
    <n v="2.5062410653707755E-2"/>
    <x v="0"/>
    <s v="No"/>
    <s v="No"/>
    <s v="No"/>
    <m/>
    <s v="No"/>
  </r>
  <r>
    <x v="151"/>
    <x v="1"/>
    <s v="4360"/>
    <s v="Asia"/>
    <s v="Central Asia"/>
    <x v="0"/>
    <m/>
    <s v="TKM"/>
    <s v="No"/>
    <s v="Upper middle income"/>
    <m/>
    <x v="1"/>
    <x v="1"/>
    <m/>
    <m/>
    <n v="5.1185669449733996E-2"/>
    <x v="0"/>
    <s v="No"/>
    <s v="Yes"/>
    <s v="No"/>
    <m/>
    <s v="No"/>
  </r>
  <r>
    <x v="152"/>
    <x v="2"/>
    <s v="0420RAM310"/>
    <s v="Americas"/>
    <s v="Latin America and the Caribbean"/>
    <x v="1"/>
    <s v="Eastern Caribbean multi-country programme (Barbados)"/>
    <s v="TCA"/>
    <s v="No"/>
    <s v="High income"/>
    <m/>
    <x v="1"/>
    <x v="1"/>
    <m/>
    <m/>
    <e v="#N/A"/>
    <x v="0"/>
    <s v="No"/>
    <s v="No"/>
    <s v="No"/>
    <s v="Caribbean"/>
    <s v="No"/>
  </r>
  <r>
    <x v="153"/>
    <x v="7"/>
    <s v="1430L00000"/>
    <s v="Oceania"/>
    <s v="Polynesia"/>
    <x v="1"/>
    <s v="Pacific Islands multi-country programme (Fiji)"/>
    <s v="TUV"/>
    <s v="No"/>
    <s v="Upper middle income"/>
    <s v="Institutional And Social Fragility"/>
    <x v="1"/>
    <x v="1"/>
    <m/>
    <m/>
    <e v="#N/A"/>
    <x v="0"/>
    <s v="Yes"/>
    <s v="No"/>
    <s v="Yes"/>
    <m/>
    <s v="No"/>
  </r>
  <r>
    <x v="154"/>
    <x v="0"/>
    <s v="3780C00000"/>
    <s v="Asia"/>
    <s v="Western Asia"/>
    <x v="1"/>
    <s v="Gulf Area subregional programme (Saudi Arabia)"/>
    <s v="ARE"/>
    <s v="No"/>
    <s v="High income"/>
    <m/>
    <x v="1"/>
    <x v="1"/>
    <m/>
    <m/>
    <e v="#N/A"/>
    <x v="0"/>
    <s v="No"/>
    <s v="No"/>
    <s v="No"/>
    <m/>
    <s v="No"/>
  </r>
  <r>
    <x v="155"/>
    <x v="6"/>
    <s v="4550"/>
    <s v="Africa"/>
    <s v="Sub-Saharan Africa"/>
    <x v="0"/>
    <m/>
    <s v="TZA"/>
    <s v="Yes"/>
    <s v="Lower middle income"/>
    <m/>
    <x v="1"/>
    <x v="1"/>
    <m/>
    <m/>
    <n v="4.497974332539699E-2"/>
    <x v="1"/>
    <s v="Yes"/>
    <s v="No"/>
    <s v="No"/>
    <s v="Eastern Africa"/>
    <s v="No"/>
  </r>
  <r>
    <x v="156"/>
    <x v="7"/>
    <s v="1430E00000"/>
    <s v="Oceania"/>
    <s v="Melanesia"/>
    <x v="1"/>
    <s v="Pacific Islands multi-country programme (Fiji)"/>
    <s v="VUT"/>
    <s v="No"/>
    <s v="Lower middle income"/>
    <m/>
    <x v="1"/>
    <x v="1"/>
    <m/>
    <m/>
    <e v="#N/A"/>
    <x v="0"/>
    <s v="No"/>
    <s v="No"/>
    <s v="Yes"/>
    <m/>
    <s v="No"/>
  </r>
  <r>
    <x v="157"/>
    <x v="7"/>
    <s v="5200"/>
    <s v="Asia"/>
    <s v="South-eastern Asia"/>
    <x v="0"/>
    <m/>
    <s v="VNM"/>
    <s v="No"/>
    <s v="Lower middle income"/>
    <m/>
    <x v="1"/>
    <x v="1"/>
    <m/>
    <m/>
    <n v="0.30506115909574416"/>
    <x v="0"/>
    <s v="No"/>
    <s v="No"/>
    <s v="No"/>
    <m/>
    <s v="No"/>
  </r>
  <r>
    <x v="158"/>
    <x v="6"/>
    <s v="4980"/>
    <s v="Africa"/>
    <s v="Sub-Saharan Africa"/>
    <x v="0"/>
    <m/>
    <s v="ZMB"/>
    <s v="Yes"/>
    <s v="Lower middle income"/>
    <m/>
    <x v="1"/>
    <x v="1"/>
    <m/>
    <m/>
    <n v="9.4870340018381558E-2"/>
    <x v="1"/>
    <s v="Yes"/>
    <s v="Yes"/>
    <s v="No"/>
    <s v="Eastern Africa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8E579-AD57-4370-9C6D-3846E780709A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5:H13" firstHeaderRow="1" firstDataRow="1" firstDataCol="1" rowPageCount="1" colPageCount="1"/>
  <pivotFields count="22">
    <pivotField axis="axisRow" dataField="1" showAll="0">
      <items count="160">
        <item x="33"/>
        <item x="61"/>
        <item x="62"/>
        <item x="63"/>
        <item x="64"/>
        <item x="65"/>
        <item x="66"/>
        <item x="34"/>
        <item x="67"/>
        <item x="68"/>
        <item x="35"/>
        <item x="69"/>
        <item x="2"/>
        <item x="3"/>
        <item x="4"/>
        <item x="70"/>
        <item x="5"/>
        <item x="71"/>
        <item x="72"/>
        <item x="6"/>
        <item x="73"/>
        <item x="7"/>
        <item x="36"/>
        <item x="74"/>
        <item x="75"/>
        <item x="76"/>
        <item x="37"/>
        <item x="38"/>
        <item x="8"/>
        <item x="77"/>
        <item x="9"/>
        <item x="78"/>
        <item x="79"/>
        <item x="80"/>
        <item x="10"/>
        <item x="11"/>
        <item x="81"/>
        <item x="82"/>
        <item x="39"/>
        <item x="83"/>
        <item x="84"/>
        <item x="12"/>
        <item x="85"/>
        <item x="13"/>
        <item x="14"/>
        <item x="15"/>
        <item x="86"/>
        <item x="87"/>
        <item x="88"/>
        <item x="40"/>
        <item x="89"/>
        <item x="90"/>
        <item x="91"/>
        <item x="92"/>
        <item x="16"/>
        <item x="93"/>
        <item x="94"/>
        <item x="17"/>
        <item x="95"/>
        <item x="96"/>
        <item x="18"/>
        <item x="41"/>
        <item x="19"/>
        <item x="97"/>
        <item x="98"/>
        <item x="99"/>
        <item x="0"/>
        <item x="100"/>
        <item x="20"/>
        <item x="101"/>
        <item x="42"/>
        <item x="102"/>
        <item x="103"/>
        <item x="104"/>
        <item x="105"/>
        <item x="21"/>
        <item x="106"/>
        <item x="107"/>
        <item x="108"/>
        <item x="43"/>
        <item x="44"/>
        <item x="109"/>
        <item x="110"/>
        <item x="45"/>
        <item x="111"/>
        <item x="112"/>
        <item x="22"/>
        <item x="113"/>
        <item x="23"/>
        <item x="114"/>
        <item x="115"/>
        <item x="116"/>
        <item x="46"/>
        <item x="117"/>
        <item x="118"/>
        <item x="119"/>
        <item x="24"/>
        <item x="47"/>
        <item x="48"/>
        <item x="120"/>
        <item x="121"/>
        <item x="122"/>
        <item x="49"/>
        <item x="123"/>
        <item x="50"/>
        <item x="25"/>
        <item x="124"/>
        <item x="125"/>
        <item x="26"/>
        <item x="126"/>
        <item x="127"/>
        <item x="128"/>
        <item x="51"/>
        <item x="129"/>
        <item x="130"/>
        <item x="52"/>
        <item x="28"/>
        <item x="131"/>
        <item x="132"/>
        <item x="133"/>
        <item x="134"/>
        <item x="135"/>
        <item x="136"/>
        <item x="137"/>
        <item x="138"/>
        <item x="53"/>
        <item x="139"/>
        <item x="54"/>
        <item x="140"/>
        <item x="141"/>
        <item x="142"/>
        <item x="143"/>
        <item x="55"/>
        <item x="144"/>
        <item x="56"/>
        <item x="145"/>
        <item x="146"/>
        <item x="147"/>
        <item x="29"/>
        <item x="148"/>
        <item x="149"/>
        <item x="30"/>
        <item x="150"/>
        <item x="1"/>
        <item x="151"/>
        <item x="152"/>
        <item x="153"/>
        <item x="154"/>
        <item x="57"/>
        <item x="31"/>
        <item x="155"/>
        <item x="32"/>
        <item x="156"/>
        <item x="58"/>
        <item x="157"/>
        <item x="59"/>
        <item x="158"/>
        <item x="60"/>
        <item x="27"/>
        <item t="default"/>
      </items>
    </pivotField>
    <pivotField axis="axisRow" showAll="0">
      <items count="9">
        <item sd="0" x="7"/>
        <item sd="0" x="1"/>
        <item sd="0" x="6"/>
        <item sd="0" x="2"/>
        <item sd="0" x="0"/>
        <item sd="0" x="5"/>
        <item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2" item="1" hier="-1"/>
  </pageFields>
  <dataFields count="1">
    <dataField name="Count of Business_x000a_Are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85DA6-6CAC-4D05-AC8F-0F9D9C83FDA8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5:E15" firstHeaderRow="1" firstDataRow="1" firstDataCol="1" rowPageCount="1" colPageCount="1"/>
  <pivotFields count="22">
    <pivotField axis="axisRow" dataField="1" showAll="0">
      <items count="160">
        <item x="33"/>
        <item x="61"/>
        <item x="62"/>
        <item x="63"/>
        <item x="64"/>
        <item x="65"/>
        <item x="66"/>
        <item x="34"/>
        <item x="67"/>
        <item x="68"/>
        <item x="35"/>
        <item x="69"/>
        <item x="2"/>
        <item x="3"/>
        <item x="4"/>
        <item x="70"/>
        <item x="5"/>
        <item x="71"/>
        <item x="72"/>
        <item x="6"/>
        <item x="73"/>
        <item x="7"/>
        <item x="36"/>
        <item x="74"/>
        <item x="75"/>
        <item x="76"/>
        <item x="37"/>
        <item x="38"/>
        <item x="8"/>
        <item x="77"/>
        <item x="9"/>
        <item x="78"/>
        <item x="79"/>
        <item x="80"/>
        <item x="10"/>
        <item x="11"/>
        <item x="81"/>
        <item x="82"/>
        <item x="39"/>
        <item x="83"/>
        <item x="84"/>
        <item x="12"/>
        <item x="85"/>
        <item x="13"/>
        <item x="14"/>
        <item x="15"/>
        <item x="86"/>
        <item x="87"/>
        <item x="88"/>
        <item x="40"/>
        <item x="89"/>
        <item x="90"/>
        <item x="91"/>
        <item x="92"/>
        <item x="16"/>
        <item x="93"/>
        <item x="94"/>
        <item x="17"/>
        <item x="95"/>
        <item x="96"/>
        <item x="18"/>
        <item x="41"/>
        <item x="19"/>
        <item x="97"/>
        <item x="98"/>
        <item x="99"/>
        <item x="0"/>
        <item x="100"/>
        <item x="20"/>
        <item x="101"/>
        <item x="42"/>
        <item x="102"/>
        <item x="103"/>
        <item x="104"/>
        <item x="105"/>
        <item x="21"/>
        <item x="106"/>
        <item x="107"/>
        <item x="108"/>
        <item x="43"/>
        <item x="44"/>
        <item x="109"/>
        <item x="110"/>
        <item x="45"/>
        <item x="111"/>
        <item x="112"/>
        <item x="22"/>
        <item x="113"/>
        <item x="23"/>
        <item x="114"/>
        <item x="115"/>
        <item x="116"/>
        <item x="46"/>
        <item x="117"/>
        <item x="118"/>
        <item x="119"/>
        <item x="24"/>
        <item x="47"/>
        <item x="48"/>
        <item x="120"/>
        <item x="121"/>
        <item x="122"/>
        <item x="49"/>
        <item x="123"/>
        <item x="50"/>
        <item x="25"/>
        <item x="124"/>
        <item x="125"/>
        <item x="26"/>
        <item x="126"/>
        <item x="127"/>
        <item x="128"/>
        <item x="51"/>
        <item x="129"/>
        <item x="130"/>
        <item x="52"/>
        <item x="28"/>
        <item x="131"/>
        <item x="132"/>
        <item x="133"/>
        <item x="134"/>
        <item x="135"/>
        <item x="136"/>
        <item x="137"/>
        <item x="138"/>
        <item x="53"/>
        <item x="139"/>
        <item x="54"/>
        <item x="140"/>
        <item x="141"/>
        <item x="142"/>
        <item x="143"/>
        <item x="55"/>
        <item x="144"/>
        <item x="56"/>
        <item x="145"/>
        <item x="146"/>
        <item x="147"/>
        <item x="29"/>
        <item x="148"/>
        <item x="149"/>
        <item x="30"/>
        <item x="150"/>
        <item x="1"/>
        <item x="151"/>
        <item x="152"/>
        <item x="153"/>
        <item x="154"/>
        <item x="57"/>
        <item x="31"/>
        <item x="155"/>
        <item x="32"/>
        <item x="156"/>
        <item x="58"/>
        <item x="157"/>
        <item x="59"/>
        <item x="158"/>
        <item x="60"/>
        <item x="27"/>
        <item t="default"/>
      </items>
    </pivotField>
    <pivotField axis="axisRow" showAll="0">
      <items count="9">
        <item sd="0" x="7"/>
        <item sd="0" x="1"/>
        <item sd="0" x="6"/>
        <item sd="0" x="2"/>
        <item sd="0" x="0"/>
        <item sd="0" x="5"/>
        <item sd="0" x="3"/>
        <item x="4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 r="1">
      <x v="158"/>
    </i>
    <i t="grand">
      <x/>
    </i>
  </rowItems>
  <colItems count="1">
    <i/>
  </colItems>
  <pageFields count="1">
    <pageField fld="5" hier="-1"/>
  </pageFields>
  <dataFields count="1">
    <dataField name="Count of Business_x000a_Are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BC2E9-04BE-4E3C-8333-6F2E85C9A3C1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5:B13" firstHeaderRow="1" firstDataRow="1" firstDataCol="1" rowPageCount="1" colPageCount="1"/>
  <pivotFields count="22">
    <pivotField axis="axisRow" dataField="1" showAll="0">
      <items count="160">
        <item x="33"/>
        <item x="61"/>
        <item x="62"/>
        <item x="63"/>
        <item x="64"/>
        <item x="65"/>
        <item x="66"/>
        <item x="34"/>
        <item x="67"/>
        <item x="68"/>
        <item x="35"/>
        <item x="69"/>
        <item x="2"/>
        <item x="3"/>
        <item x="4"/>
        <item x="70"/>
        <item x="5"/>
        <item x="71"/>
        <item x="72"/>
        <item x="6"/>
        <item x="73"/>
        <item x="7"/>
        <item x="36"/>
        <item x="74"/>
        <item x="75"/>
        <item x="76"/>
        <item x="37"/>
        <item x="38"/>
        <item x="8"/>
        <item x="77"/>
        <item x="9"/>
        <item x="78"/>
        <item x="79"/>
        <item x="80"/>
        <item x="10"/>
        <item x="11"/>
        <item x="81"/>
        <item x="82"/>
        <item x="39"/>
        <item x="83"/>
        <item x="84"/>
        <item x="12"/>
        <item x="85"/>
        <item x="13"/>
        <item x="14"/>
        <item x="15"/>
        <item x="86"/>
        <item x="87"/>
        <item x="88"/>
        <item x="40"/>
        <item x="89"/>
        <item x="90"/>
        <item x="91"/>
        <item x="92"/>
        <item x="16"/>
        <item x="93"/>
        <item x="94"/>
        <item x="17"/>
        <item x="95"/>
        <item x="96"/>
        <item x="18"/>
        <item x="41"/>
        <item x="19"/>
        <item x="97"/>
        <item x="98"/>
        <item x="99"/>
        <item x="0"/>
        <item x="100"/>
        <item x="20"/>
        <item x="101"/>
        <item x="42"/>
        <item x="102"/>
        <item x="103"/>
        <item x="104"/>
        <item x="105"/>
        <item x="21"/>
        <item x="106"/>
        <item x="107"/>
        <item x="108"/>
        <item x="43"/>
        <item x="44"/>
        <item x="109"/>
        <item x="110"/>
        <item x="45"/>
        <item x="111"/>
        <item x="112"/>
        <item x="22"/>
        <item x="113"/>
        <item x="23"/>
        <item x="114"/>
        <item x="115"/>
        <item x="116"/>
        <item x="46"/>
        <item x="117"/>
        <item x="118"/>
        <item x="119"/>
        <item x="24"/>
        <item x="47"/>
        <item x="48"/>
        <item x="120"/>
        <item x="121"/>
        <item x="122"/>
        <item x="49"/>
        <item x="123"/>
        <item x="50"/>
        <item x="25"/>
        <item x="124"/>
        <item x="125"/>
        <item x="26"/>
        <item x="126"/>
        <item x="127"/>
        <item x="128"/>
        <item x="51"/>
        <item x="129"/>
        <item x="130"/>
        <item x="52"/>
        <item x="28"/>
        <item x="131"/>
        <item x="132"/>
        <item x="133"/>
        <item x="134"/>
        <item x="135"/>
        <item x="136"/>
        <item x="137"/>
        <item x="138"/>
        <item x="53"/>
        <item x="139"/>
        <item x="54"/>
        <item x="140"/>
        <item x="141"/>
        <item x="142"/>
        <item x="143"/>
        <item x="55"/>
        <item x="144"/>
        <item x="56"/>
        <item x="145"/>
        <item x="146"/>
        <item x="147"/>
        <item x="29"/>
        <item x="148"/>
        <item x="149"/>
        <item x="30"/>
        <item x="150"/>
        <item x="1"/>
        <item x="151"/>
        <item x="152"/>
        <item x="153"/>
        <item x="154"/>
        <item x="57"/>
        <item x="31"/>
        <item x="155"/>
        <item x="32"/>
        <item x="156"/>
        <item x="58"/>
        <item x="157"/>
        <item x="59"/>
        <item x="158"/>
        <item x="60"/>
        <item x="27"/>
        <item t="default"/>
      </items>
    </pivotField>
    <pivotField axis="axisRow" showAll="0">
      <items count="9">
        <item sd="0" x="7"/>
        <item sd="0" x="1"/>
        <item sd="0" x="6"/>
        <item sd="0" x="2"/>
        <item sd="0" x="0"/>
        <item sd="0" x="5"/>
        <item sd="0" x="3"/>
        <item x="4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 item="1" hier="-1"/>
  </pageFields>
  <dataFields count="1">
    <dataField name="Count of Business_x000a_Are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AFD65-1184-4030-9750-DFDE1464E648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M5:N12" firstHeaderRow="1" firstDataRow="1" firstDataCol="1" rowPageCount="1" colPageCount="1"/>
  <pivotFields count="22">
    <pivotField axis="axisRow" dataField="1" showAll="0">
      <items count="160">
        <item x="33"/>
        <item x="61"/>
        <item x="62"/>
        <item x="63"/>
        <item x="64"/>
        <item x="65"/>
        <item x="66"/>
        <item x="34"/>
        <item x="67"/>
        <item x="68"/>
        <item x="35"/>
        <item x="69"/>
        <item x="2"/>
        <item x="3"/>
        <item x="4"/>
        <item x="70"/>
        <item x="5"/>
        <item x="71"/>
        <item x="72"/>
        <item x="6"/>
        <item x="73"/>
        <item x="7"/>
        <item x="36"/>
        <item x="74"/>
        <item x="75"/>
        <item x="76"/>
        <item x="37"/>
        <item x="38"/>
        <item x="8"/>
        <item x="77"/>
        <item x="9"/>
        <item x="78"/>
        <item x="79"/>
        <item x="80"/>
        <item x="10"/>
        <item x="11"/>
        <item x="81"/>
        <item x="82"/>
        <item x="39"/>
        <item x="83"/>
        <item x="84"/>
        <item x="12"/>
        <item x="85"/>
        <item x="13"/>
        <item x="14"/>
        <item x="15"/>
        <item x="86"/>
        <item x="87"/>
        <item x="88"/>
        <item x="40"/>
        <item x="89"/>
        <item x="90"/>
        <item x="91"/>
        <item x="92"/>
        <item x="16"/>
        <item x="93"/>
        <item x="94"/>
        <item x="17"/>
        <item x="95"/>
        <item x="96"/>
        <item x="18"/>
        <item x="41"/>
        <item x="19"/>
        <item x="97"/>
        <item x="98"/>
        <item x="99"/>
        <item x="0"/>
        <item x="100"/>
        <item x="20"/>
        <item x="101"/>
        <item x="42"/>
        <item x="102"/>
        <item x="103"/>
        <item x="104"/>
        <item x="105"/>
        <item x="21"/>
        <item x="106"/>
        <item x="107"/>
        <item x="108"/>
        <item x="43"/>
        <item x="44"/>
        <item x="109"/>
        <item x="110"/>
        <item x="45"/>
        <item x="111"/>
        <item x="112"/>
        <item x="22"/>
        <item x="113"/>
        <item x="23"/>
        <item x="114"/>
        <item x="115"/>
        <item x="116"/>
        <item x="46"/>
        <item x="117"/>
        <item x="118"/>
        <item x="119"/>
        <item x="24"/>
        <item x="47"/>
        <item x="48"/>
        <item x="120"/>
        <item x="121"/>
        <item x="122"/>
        <item x="49"/>
        <item x="123"/>
        <item x="50"/>
        <item x="25"/>
        <item x="124"/>
        <item x="125"/>
        <item x="26"/>
        <item x="126"/>
        <item x="127"/>
        <item x="128"/>
        <item x="51"/>
        <item x="129"/>
        <item x="130"/>
        <item x="52"/>
        <item x="28"/>
        <item x="131"/>
        <item x="132"/>
        <item x="133"/>
        <item x="134"/>
        <item x="135"/>
        <item x="136"/>
        <item x="137"/>
        <item x="138"/>
        <item x="53"/>
        <item x="139"/>
        <item x="54"/>
        <item x="140"/>
        <item x="141"/>
        <item x="142"/>
        <item x="143"/>
        <item x="55"/>
        <item x="144"/>
        <item x="56"/>
        <item x="145"/>
        <item x="146"/>
        <item x="147"/>
        <item x="29"/>
        <item x="148"/>
        <item x="149"/>
        <item x="30"/>
        <item x="150"/>
        <item x="1"/>
        <item x="151"/>
        <item x="152"/>
        <item x="153"/>
        <item x="154"/>
        <item x="57"/>
        <item x="31"/>
        <item x="155"/>
        <item x="32"/>
        <item x="156"/>
        <item x="58"/>
        <item x="157"/>
        <item x="59"/>
        <item x="158"/>
        <item x="60"/>
        <item x="27"/>
        <item t="default"/>
      </items>
    </pivotField>
    <pivotField axis="axisRow" showAll="0">
      <items count="9">
        <item sd="0" x="7"/>
        <item sd="0" x="1"/>
        <item sd="0" x="6"/>
        <item sd="0" x="2"/>
        <item sd="0" x="0"/>
        <item sd="0" x="5"/>
        <item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6" item="1" hier="-1"/>
  </pageFields>
  <dataFields count="1">
    <dataField name="Count of Business_x000a_Are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34B5D-7332-4418-95C9-55F8932CF49E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5:K12" firstHeaderRow="1" firstDataRow="1" firstDataCol="1" rowPageCount="1" colPageCount="1"/>
  <pivotFields count="22">
    <pivotField axis="axisRow" dataField="1" showAll="0">
      <items count="160">
        <item x="33"/>
        <item x="61"/>
        <item x="62"/>
        <item x="63"/>
        <item x="64"/>
        <item x="65"/>
        <item x="66"/>
        <item x="34"/>
        <item x="67"/>
        <item x="68"/>
        <item x="35"/>
        <item x="69"/>
        <item x="2"/>
        <item x="3"/>
        <item x="4"/>
        <item x="70"/>
        <item x="5"/>
        <item x="71"/>
        <item x="72"/>
        <item x="6"/>
        <item x="73"/>
        <item x="7"/>
        <item x="36"/>
        <item x="74"/>
        <item x="75"/>
        <item x="76"/>
        <item x="37"/>
        <item x="38"/>
        <item x="8"/>
        <item x="77"/>
        <item x="9"/>
        <item x="78"/>
        <item x="79"/>
        <item x="80"/>
        <item x="10"/>
        <item x="11"/>
        <item x="81"/>
        <item x="82"/>
        <item x="39"/>
        <item x="83"/>
        <item x="84"/>
        <item x="12"/>
        <item x="85"/>
        <item x="13"/>
        <item x="14"/>
        <item x="15"/>
        <item x="86"/>
        <item x="87"/>
        <item x="88"/>
        <item x="40"/>
        <item x="89"/>
        <item x="90"/>
        <item x="91"/>
        <item x="92"/>
        <item x="16"/>
        <item x="93"/>
        <item x="94"/>
        <item x="17"/>
        <item x="95"/>
        <item x="96"/>
        <item x="18"/>
        <item x="41"/>
        <item x="19"/>
        <item x="97"/>
        <item x="98"/>
        <item x="99"/>
        <item x="0"/>
        <item x="100"/>
        <item x="20"/>
        <item x="101"/>
        <item x="42"/>
        <item x="102"/>
        <item x="103"/>
        <item x="104"/>
        <item x="105"/>
        <item x="21"/>
        <item x="106"/>
        <item x="107"/>
        <item x="108"/>
        <item x="43"/>
        <item x="44"/>
        <item x="109"/>
        <item x="110"/>
        <item x="45"/>
        <item x="111"/>
        <item x="112"/>
        <item x="22"/>
        <item x="113"/>
        <item x="23"/>
        <item x="114"/>
        <item x="115"/>
        <item x="116"/>
        <item x="46"/>
        <item x="117"/>
        <item x="118"/>
        <item x="119"/>
        <item x="24"/>
        <item x="47"/>
        <item x="48"/>
        <item x="120"/>
        <item x="121"/>
        <item x="122"/>
        <item x="49"/>
        <item x="123"/>
        <item x="50"/>
        <item x="25"/>
        <item x="124"/>
        <item x="125"/>
        <item x="26"/>
        <item x="126"/>
        <item x="127"/>
        <item x="128"/>
        <item x="51"/>
        <item x="129"/>
        <item x="130"/>
        <item x="52"/>
        <item x="28"/>
        <item x="131"/>
        <item x="132"/>
        <item x="133"/>
        <item x="134"/>
        <item x="135"/>
        <item x="136"/>
        <item x="137"/>
        <item x="138"/>
        <item x="53"/>
        <item x="139"/>
        <item x="54"/>
        <item x="140"/>
        <item x="141"/>
        <item x="142"/>
        <item x="143"/>
        <item x="55"/>
        <item x="144"/>
        <item x="56"/>
        <item x="145"/>
        <item x="146"/>
        <item x="147"/>
        <item x="29"/>
        <item x="148"/>
        <item x="149"/>
        <item x="30"/>
        <item x="150"/>
        <item x="1"/>
        <item x="151"/>
        <item x="152"/>
        <item x="153"/>
        <item x="154"/>
        <item x="57"/>
        <item x="31"/>
        <item x="155"/>
        <item x="32"/>
        <item x="156"/>
        <item x="58"/>
        <item x="157"/>
        <item x="59"/>
        <item x="158"/>
        <item x="60"/>
        <item x="27"/>
        <item t="default"/>
      </items>
    </pivotField>
    <pivotField axis="axisRow" showAll="0">
      <items count="9">
        <item sd="0" x="7"/>
        <item sd="0" x="1"/>
        <item sd="0" x="6"/>
        <item sd="0" x="2"/>
        <item sd="0" x="0"/>
        <item sd="0" x="5"/>
        <item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item="1" hier="-1"/>
  </pageFields>
  <dataFields count="1">
    <dataField name="Count of Business_x000a_Are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bank.org/en/topic/fragilityconflictviolence/brief/classification-of-fragile-and-conflict-affected-situations" TargetMode="External"/><Relationship Id="rId3" Type="http://schemas.openxmlformats.org/officeDocument/2006/relationships/hyperlink" Target="https://unstats.un.org/unsd/methodology/m49/" TargetMode="External"/><Relationship Id="rId7" Type="http://schemas.openxmlformats.org/officeDocument/2006/relationships/hyperlink" Target="https://datahelpdesk.worldbank.org/knowledgebase/articles/906519-world-bank-country-and-lending-groups" TargetMode="External"/><Relationship Id="rId2" Type="http://schemas.openxmlformats.org/officeDocument/2006/relationships/hyperlink" Target="https://unstats.un.org/unsd/methodology/m49/" TargetMode="External"/><Relationship Id="rId1" Type="http://schemas.openxmlformats.org/officeDocument/2006/relationships/hyperlink" Target="https://unstats.un.org/unsd/methodology/m49/" TargetMode="External"/><Relationship Id="rId6" Type="http://schemas.openxmlformats.org/officeDocument/2006/relationships/hyperlink" Target="https://unstats.un.org/unsd/methodology/m49/" TargetMode="External"/><Relationship Id="rId5" Type="http://schemas.openxmlformats.org/officeDocument/2006/relationships/hyperlink" Target="https://unstats.un.org/unsd/methodology/m49/" TargetMode="External"/><Relationship Id="rId4" Type="http://schemas.openxmlformats.org/officeDocument/2006/relationships/hyperlink" Target="https://unstats.un.org/unsd/methodology/m49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31F-6C73-4CC5-9066-B166877538AF}">
  <dimension ref="A1:B16"/>
  <sheetViews>
    <sheetView tabSelected="1" workbookViewId="0">
      <selection activeCell="A12" sqref="A12"/>
    </sheetView>
  </sheetViews>
  <sheetFormatPr defaultRowHeight="15" x14ac:dyDescent="0.25"/>
  <cols>
    <col min="1" max="1" width="26.85546875" customWidth="1"/>
    <col min="2" max="2" width="112.5703125" customWidth="1"/>
  </cols>
  <sheetData>
    <row r="1" spans="1:2" x14ac:dyDescent="0.25">
      <c r="A1" s="101" t="s">
        <v>0</v>
      </c>
      <c r="B1" s="101"/>
    </row>
    <row r="2" spans="1:2" s="42" customFormat="1" ht="30" customHeight="1" x14ac:dyDescent="0.25">
      <c r="A2" s="41" t="s">
        <v>1</v>
      </c>
      <c r="B2" s="43" t="s">
        <v>2</v>
      </c>
    </row>
    <row r="3" spans="1:2" s="42" customFormat="1" ht="30" customHeight="1" x14ac:dyDescent="0.25">
      <c r="A3" s="41" t="s">
        <v>3</v>
      </c>
      <c r="B3" s="43" t="s">
        <v>2</v>
      </c>
    </row>
    <row r="4" spans="1:2" s="42" customFormat="1" ht="30" customHeight="1" x14ac:dyDescent="0.25">
      <c r="A4" s="41" t="s">
        <v>4</v>
      </c>
      <c r="B4" s="43" t="s">
        <v>2</v>
      </c>
    </row>
    <row r="5" spans="1:2" s="42" customFormat="1" ht="30" customHeight="1" x14ac:dyDescent="0.25">
      <c r="A5" s="41" t="s">
        <v>5</v>
      </c>
      <c r="B5" s="43" t="s">
        <v>2</v>
      </c>
    </row>
    <row r="6" spans="1:2" s="42" customFormat="1" ht="30" customHeight="1" x14ac:dyDescent="0.25">
      <c r="A6" s="41" t="s">
        <v>6</v>
      </c>
      <c r="B6" s="43" t="s">
        <v>2</v>
      </c>
    </row>
    <row r="7" spans="1:2" s="42" customFormat="1" ht="30" customHeight="1" x14ac:dyDescent="0.25">
      <c r="A7" s="41" t="s">
        <v>7</v>
      </c>
      <c r="B7" s="43" t="s">
        <v>2</v>
      </c>
    </row>
    <row r="8" spans="1:2" s="42" customFormat="1" ht="30" customHeight="1" x14ac:dyDescent="0.25">
      <c r="A8" s="41" t="s">
        <v>8</v>
      </c>
      <c r="B8" s="42" t="s">
        <v>9</v>
      </c>
    </row>
    <row r="9" spans="1:2" s="42" customFormat="1" ht="30" customHeight="1" x14ac:dyDescent="0.25">
      <c r="A9" s="41" t="s">
        <v>10</v>
      </c>
    </row>
    <row r="10" spans="1:2" s="42" customFormat="1" ht="30" customHeight="1" x14ac:dyDescent="0.25">
      <c r="A10" s="41" t="s">
        <v>11</v>
      </c>
    </row>
    <row r="11" spans="1:2" s="42" customFormat="1" ht="30" customHeight="1" x14ac:dyDescent="0.25">
      <c r="A11" s="41" t="s">
        <v>12</v>
      </c>
      <c r="B11" s="42" t="s">
        <v>13</v>
      </c>
    </row>
    <row r="12" spans="1:2" s="42" customFormat="1" ht="30" customHeight="1" x14ac:dyDescent="0.25">
      <c r="A12" s="41" t="s">
        <v>14</v>
      </c>
      <c r="B12" s="43" t="s">
        <v>15</v>
      </c>
    </row>
    <row r="13" spans="1:2" s="42" customFormat="1" ht="30" customHeight="1" x14ac:dyDescent="0.25">
      <c r="A13" s="41" t="s">
        <v>16</v>
      </c>
      <c r="B13" s="43" t="s">
        <v>17</v>
      </c>
    </row>
    <row r="14" spans="1:2" s="42" customFormat="1" ht="30" customHeight="1" x14ac:dyDescent="0.25">
      <c r="A14" s="67" t="s">
        <v>18</v>
      </c>
      <c r="B14" s="42" t="s">
        <v>19</v>
      </c>
    </row>
    <row r="15" spans="1:2" s="42" customFormat="1" ht="30" customHeight="1" x14ac:dyDescent="0.25">
      <c r="A15" s="41" t="s">
        <v>20</v>
      </c>
    </row>
    <row r="16" spans="1:2" s="42" customFormat="1" ht="30" customHeight="1" x14ac:dyDescent="0.25">
      <c r="A16" s="41" t="s">
        <v>21</v>
      </c>
    </row>
  </sheetData>
  <mergeCells count="1">
    <mergeCell ref="A1:B1"/>
  </mergeCells>
  <hyperlinks>
    <hyperlink ref="B2" r:id="rId1" display="https://unstats.un.org/unsd/methodology/m49/" xr:uid="{0F443C94-3BAA-4127-9A6E-62A2AFA3CCD1}"/>
    <hyperlink ref="B3" r:id="rId2" display="https://unstats.un.org/unsd/methodology/m49/" xr:uid="{83BB579B-3DC9-426C-9468-6E5B23FF4405}"/>
    <hyperlink ref="B4" r:id="rId3" display="https://unstats.un.org/unsd/methodology/m49/" xr:uid="{4DF0CCE2-B353-4A0C-A57F-420DE34258E0}"/>
    <hyperlink ref="B5" r:id="rId4" display="https://unstats.un.org/unsd/methodology/m49/" xr:uid="{8F5539AB-A2CF-4128-AC89-18E076E34657}"/>
    <hyperlink ref="B6" r:id="rId5" display="https://unstats.un.org/unsd/methodology/m49/" xr:uid="{73BBC4C8-06F5-4F77-9ABE-E5308DEAEBC6}"/>
    <hyperlink ref="B7" r:id="rId6" display="https://unstats.un.org/unsd/methodology/m49/" xr:uid="{B855B91C-3D9A-445F-9109-1CCA28134395}"/>
    <hyperlink ref="B12" r:id="rId7" display="https://datahelpdesk.worldbank.org/knowledgebase/articles/906519-world-bank-country-and-lending-groups" xr:uid="{1770A0AB-561E-4F42-9326-BFB6101C4EFD}"/>
    <hyperlink ref="B13" r:id="rId8" display="https://www.worldbank.org/en/topic/fragilityconflictviolence/brief/classification-of-fragile-and-conflict-affected-situations" xr:uid="{C19276B5-CAC6-42E4-843B-43473D30A9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33CA-869F-4859-8202-22A8A6AACD52}">
  <dimension ref="A1:AA160"/>
  <sheetViews>
    <sheetView workbookViewId="0">
      <pane xSplit="3" ySplit="1" topLeftCell="D14" activePane="bottomRight" state="frozen"/>
      <selection pane="topRight" activeCell="B1" sqref="B1"/>
      <selection pane="bottomLeft" activeCell="A2" sqref="A2"/>
      <selection pane="bottomRight" activeCell="N162" sqref="N162"/>
    </sheetView>
  </sheetViews>
  <sheetFormatPr defaultColWidth="9.140625" defaultRowHeight="11.25" x14ac:dyDescent="0.25"/>
  <cols>
    <col min="1" max="1" width="6.85546875" style="71" bestFit="1" customWidth="1"/>
    <col min="2" max="2" width="13.7109375" style="71" customWidth="1"/>
    <col min="3" max="3" width="14" style="71" customWidth="1"/>
    <col min="4" max="4" width="10.85546875" style="75" customWidth="1"/>
    <col min="5" max="5" width="9.140625" style="71"/>
    <col min="6" max="6" width="12" style="71" customWidth="1"/>
    <col min="7" max="7" width="13.140625" style="71" customWidth="1"/>
    <col min="8" max="8" width="10.7109375" style="71" customWidth="1"/>
    <col min="9" max="9" width="13.5703125" style="71" customWidth="1"/>
    <col min="10" max="10" width="10.7109375" style="71" customWidth="1"/>
    <col min="11" max="11" width="12.7109375" style="71" customWidth="1"/>
    <col min="12" max="12" width="13.7109375" style="71" customWidth="1"/>
    <col min="13" max="13" width="13.85546875" style="71" customWidth="1"/>
    <col min="14" max="14" width="14.85546875" style="71" customWidth="1"/>
    <col min="15" max="16" width="10.7109375" style="71" customWidth="1"/>
    <col min="17" max="17" width="14.42578125" style="71" customWidth="1"/>
    <col min="18" max="18" width="17.7109375" style="71" customWidth="1"/>
    <col min="19" max="19" width="15.85546875" style="71" customWidth="1"/>
    <col min="20" max="20" width="14.7109375" style="71" customWidth="1"/>
    <col min="21" max="23" width="10.7109375" style="71" customWidth="1"/>
    <col min="24" max="24" width="13.85546875" style="71" customWidth="1"/>
    <col min="25" max="25" width="12.85546875" style="71" customWidth="1"/>
    <col min="26" max="26" width="11.42578125" style="71" customWidth="1"/>
    <col min="27" max="27" width="12.85546875" style="71" customWidth="1"/>
    <col min="28" max="16384" width="9.140625" style="71"/>
  </cols>
  <sheetData>
    <row r="1" spans="1:27" s="68" customFormat="1" ht="56.25" x14ac:dyDescent="0.15">
      <c r="A1" s="77" t="s">
        <v>11</v>
      </c>
      <c r="B1" s="77" t="s">
        <v>22</v>
      </c>
      <c r="C1" s="76" t="s">
        <v>23</v>
      </c>
      <c r="D1" s="78" t="s">
        <v>24</v>
      </c>
      <c r="E1" s="77" t="s">
        <v>25</v>
      </c>
      <c r="F1" s="77" t="s">
        <v>1</v>
      </c>
      <c r="G1" s="77" t="s">
        <v>3</v>
      </c>
      <c r="H1" s="77" t="s">
        <v>10</v>
      </c>
      <c r="I1" s="77" t="s">
        <v>26</v>
      </c>
      <c r="J1" s="77" t="s">
        <v>12</v>
      </c>
      <c r="K1" s="77" t="s">
        <v>14</v>
      </c>
      <c r="L1" s="77" t="s">
        <v>16</v>
      </c>
      <c r="M1" s="77" t="s">
        <v>20</v>
      </c>
      <c r="N1" s="79" t="s">
        <v>27</v>
      </c>
      <c r="O1" s="79" t="s">
        <v>28</v>
      </c>
      <c r="P1" s="79" t="s">
        <v>29</v>
      </c>
      <c r="Q1" s="74" t="s">
        <v>30</v>
      </c>
      <c r="R1" s="74" t="s">
        <v>31</v>
      </c>
      <c r="S1" s="74" t="s">
        <v>32</v>
      </c>
      <c r="T1" s="74" t="s">
        <v>33</v>
      </c>
      <c r="U1" s="80" t="s">
        <v>34</v>
      </c>
      <c r="V1" s="77" t="s">
        <v>21</v>
      </c>
      <c r="W1" s="77" t="s">
        <v>5</v>
      </c>
      <c r="X1" s="77" t="s">
        <v>6</v>
      </c>
      <c r="Y1" s="77" t="s">
        <v>7</v>
      </c>
      <c r="Z1" s="77" t="s">
        <v>4</v>
      </c>
      <c r="AA1" s="77" t="s">
        <v>8</v>
      </c>
    </row>
    <row r="2" spans="1:27" ht="22.5" x14ac:dyDescent="0.15">
      <c r="A2" s="82" t="s">
        <v>35</v>
      </c>
      <c r="B2" s="81" t="s">
        <v>36</v>
      </c>
      <c r="C2" s="81" t="s">
        <v>36</v>
      </c>
      <c r="D2" s="83" t="s">
        <v>37</v>
      </c>
      <c r="E2" s="82" t="s">
        <v>38</v>
      </c>
      <c r="F2" s="82" t="s">
        <v>39</v>
      </c>
      <c r="G2" s="82" t="s">
        <v>40</v>
      </c>
      <c r="H2" s="82" t="s">
        <v>41</v>
      </c>
      <c r="I2" s="82" t="s">
        <v>42</v>
      </c>
      <c r="J2" s="82" t="s">
        <v>43</v>
      </c>
      <c r="K2" s="82" t="s">
        <v>44</v>
      </c>
      <c r="L2" s="82" t="s">
        <v>45</v>
      </c>
      <c r="M2" s="82" t="s">
        <v>41</v>
      </c>
      <c r="N2" s="69" t="s">
        <v>41</v>
      </c>
      <c r="O2" s="84"/>
      <c r="P2" s="84" t="s">
        <v>42</v>
      </c>
      <c r="Q2" s="85" t="s">
        <v>46</v>
      </c>
      <c r="R2" s="85" t="s">
        <v>47</v>
      </c>
      <c r="S2" s="85" t="s">
        <v>48</v>
      </c>
      <c r="T2" s="85" t="s">
        <v>49</v>
      </c>
      <c r="U2" s="70">
        <v>0.13</v>
      </c>
      <c r="V2" s="82" t="s">
        <v>43</v>
      </c>
      <c r="W2" s="82" t="s">
        <v>41</v>
      </c>
      <c r="X2" s="82" t="s">
        <v>41</v>
      </c>
      <c r="Y2" s="82" t="s">
        <v>43</v>
      </c>
      <c r="Z2" s="82" t="s">
        <v>42</v>
      </c>
      <c r="AA2" s="82" t="s">
        <v>41</v>
      </c>
    </row>
    <row r="3" spans="1:27" ht="33.75" x14ac:dyDescent="0.15">
      <c r="A3" s="82" t="s">
        <v>50</v>
      </c>
      <c r="B3" s="81" t="s">
        <v>51</v>
      </c>
      <c r="C3" s="81" t="s">
        <v>51</v>
      </c>
      <c r="D3" s="83" t="s">
        <v>52</v>
      </c>
      <c r="E3" s="82" t="s">
        <v>53</v>
      </c>
      <c r="F3" s="82" t="s">
        <v>54</v>
      </c>
      <c r="G3" s="82" t="s">
        <v>55</v>
      </c>
      <c r="H3" s="82" t="s">
        <v>41</v>
      </c>
      <c r="I3" s="82"/>
      <c r="J3" s="82" t="s">
        <v>43</v>
      </c>
      <c r="K3" s="82" t="s">
        <v>56</v>
      </c>
      <c r="L3" s="82" t="s">
        <v>42</v>
      </c>
      <c r="M3" s="82" t="s">
        <v>41</v>
      </c>
      <c r="N3" s="82" t="s">
        <v>42</v>
      </c>
      <c r="O3" s="82" t="s">
        <v>42</v>
      </c>
      <c r="P3" s="82" t="s">
        <v>42</v>
      </c>
      <c r="Q3" s="86" t="s">
        <v>57</v>
      </c>
      <c r="R3" s="86" t="s">
        <v>58</v>
      </c>
      <c r="S3" s="86" t="s">
        <v>59</v>
      </c>
      <c r="T3" s="86" t="s">
        <v>60</v>
      </c>
      <c r="U3" s="87">
        <v>0.23</v>
      </c>
      <c r="V3" s="82" t="s">
        <v>43</v>
      </c>
      <c r="W3" s="82" t="s">
        <v>43</v>
      </c>
      <c r="X3" s="82" t="s">
        <v>43</v>
      </c>
      <c r="Y3" s="82" t="s">
        <v>43</v>
      </c>
      <c r="Z3" s="82" t="s">
        <v>42</v>
      </c>
      <c r="AA3" s="82" t="s">
        <v>43</v>
      </c>
    </row>
    <row r="4" spans="1:27" ht="33.75" x14ac:dyDescent="0.15">
      <c r="A4" s="82" t="s">
        <v>61</v>
      </c>
      <c r="B4" s="81" t="s">
        <v>62</v>
      </c>
      <c r="C4" s="81" t="s">
        <v>62</v>
      </c>
      <c r="D4" s="83" t="s">
        <v>63</v>
      </c>
      <c r="E4" s="82" t="s">
        <v>64</v>
      </c>
      <c r="F4" s="82" t="s">
        <v>65</v>
      </c>
      <c r="G4" s="82" t="s">
        <v>66</v>
      </c>
      <c r="H4" s="82" t="s">
        <v>41</v>
      </c>
      <c r="I4" s="82" t="s">
        <v>42</v>
      </c>
      <c r="J4" s="82" t="s">
        <v>43</v>
      </c>
      <c r="K4" s="82" t="s">
        <v>56</v>
      </c>
      <c r="L4" s="82" t="s">
        <v>42</v>
      </c>
      <c r="M4" s="82" t="s">
        <v>41</v>
      </c>
      <c r="N4" s="82" t="s">
        <v>42</v>
      </c>
      <c r="O4" s="82" t="s">
        <v>41</v>
      </c>
      <c r="P4" s="82" t="s">
        <v>42</v>
      </c>
      <c r="Q4" s="86" t="s">
        <v>67</v>
      </c>
      <c r="R4" s="86">
        <v>530.21900000000005</v>
      </c>
      <c r="S4" s="86" t="s">
        <v>68</v>
      </c>
      <c r="T4" s="86" t="s">
        <v>69</v>
      </c>
      <c r="U4" s="72">
        <v>0.6</v>
      </c>
      <c r="V4" s="82" t="s">
        <v>43</v>
      </c>
      <c r="W4" s="82" t="s">
        <v>43</v>
      </c>
      <c r="X4" s="82" t="s">
        <v>43</v>
      </c>
      <c r="Y4" s="82" t="s">
        <v>43</v>
      </c>
      <c r="Z4" s="82" t="s">
        <v>42</v>
      </c>
      <c r="AA4" s="82" t="s">
        <v>43</v>
      </c>
    </row>
    <row r="5" spans="1:27" ht="33.75" x14ac:dyDescent="0.15">
      <c r="A5" s="82" t="s">
        <v>70</v>
      </c>
      <c r="B5" s="81" t="s">
        <v>71</v>
      </c>
      <c r="C5" s="81" t="s">
        <v>71</v>
      </c>
      <c r="D5" s="83">
        <v>6810</v>
      </c>
      <c r="E5" s="82" t="s">
        <v>72</v>
      </c>
      <c r="F5" s="82" t="s">
        <v>65</v>
      </c>
      <c r="G5" s="82" t="s">
        <v>73</v>
      </c>
      <c r="H5" s="82" t="s">
        <v>41</v>
      </c>
      <c r="I5" s="82" t="s">
        <v>42</v>
      </c>
      <c r="J5" s="82" t="s">
        <v>41</v>
      </c>
      <c r="K5" s="82" t="s">
        <v>74</v>
      </c>
      <c r="L5" s="82" t="s">
        <v>42</v>
      </c>
      <c r="M5" s="82" t="s">
        <v>41</v>
      </c>
      <c r="N5" s="82" t="s">
        <v>42</v>
      </c>
      <c r="O5" s="82" t="s">
        <v>42</v>
      </c>
      <c r="P5" s="82" t="s">
        <v>42</v>
      </c>
      <c r="Q5" s="86" t="s">
        <v>75</v>
      </c>
      <c r="R5" s="86" t="s">
        <v>76</v>
      </c>
      <c r="S5" s="86" t="s">
        <v>77</v>
      </c>
      <c r="T5" s="86" t="s">
        <v>78</v>
      </c>
      <c r="U5" s="87">
        <v>0.24</v>
      </c>
      <c r="V5" s="82" t="s">
        <v>43</v>
      </c>
      <c r="W5" s="82" t="s">
        <v>41</v>
      </c>
      <c r="X5" s="82" t="s">
        <v>43</v>
      </c>
      <c r="Y5" s="82" t="s">
        <v>43</v>
      </c>
      <c r="Z5" s="82" t="s">
        <v>79</v>
      </c>
      <c r="AA5" s="82" t="s">
        <v>43</v>
      </c>
    </row>
    <row r="6" spans="1:27" ht="56.25" x14ac:dyDescent="0.15">
      <c r="A6" s="82" t="s">
        <v>80</v>
      </c>
      <c r="B6" s="81" t="s">
        <v>81</v>
      </c>
      <c r="C6" s="81" t="s">
        <v>82</v>
      </c>
      <c r="D6" s="83" t="s">
        <v>83</v>
      </c>
      <c r="E6" s="82" t="s">
        <v>84</v>
      </c>
      <c r="F6" s="82" t="s">
        <v>85</v>
      </c>
      <c r="G6" s="82" t="s">
        <v>86</v>
      </c>
      <c r="H6" s="82" t="s">
        <v>43</v>
      </c>
      <c r="I6" s="82" t="s">
        <v>87</v>
      </c>
      <c r="J6" s="82" t="s">
        <v>43</v>
      </c>
      <c r="K6" s="82" t="s">
        <v>88</v>
      </c>
      <c r="L6" s="82" t="s">
        <v>42</v>
      </c>
      <c r="M6" s="82" t="s">
        <v>43</v>
      </c>
      <c r="N6" s="82" t="s">
        <v>42</v>
      </c>
      <c r="O6" s="82" t="s">
        <v>42</v>
      </c>
      <c r="P6" s="82" t="s">
        <v>42</v>
      </c>
      <c r="Q6" s="86">
        <v>0</v>
      </c>
      <c r="R6" s="86">
        <v>0</v>
      </c>
      <c r="S6" s="86">
        <v>0</v>
      </c>
      <c r="T6" s="86">
        <v>0</v>
      </c>
      <c r="U6" s="88"/>
      <c r="V6" s="82" t="s">
        <v>43</v>
      </c>
      <c r="W6" s="82" t="s">
        <v>43</v>
      </c>
      <c r="X6" s="82" t="s">
        <v>43</v>
      </c>
      <c r="Y6" s="82" t="s">
        <v>41</v>
      </c>
      <c r="Z6" s="82" t="s">
        <v>89</v>
      </c>
      <c r="AA6" s="82" t="s">
        <v>43</v>
      </c>
    </row>
    <row r="7" spans="1:27" ht="56.25" x14ac:dyDescent="0.15">
      <c r="A7" s="82" t="s">
        <v>90</v>
      </c>
      <c r="B7" s="81" t="s">
        <v>91</v>
      </c>
      <c r="C7" s="81" t="s">
        <v>82</v>
      </c>
      <c r="D7" s="83" t="s">
        <v>92</v>
      </c>
      <c r="E7" s="82" t="s">
        <v>84</v>
      </c>
      <c r="F7" s="82" t="s">
        <v>85</v>
      </c>
      <c r="G7" s="82" t="s">
        <v>86</v>
      </c>
      <c r="H7" s="82" t="s">
        <v>43</v>
      </c>
      <c r="I7" s="82" t="s">
        <v>87</v>
      </c>
      <c r="J7" s="82" t="s">
        <v>43</v>
      </c>
      <c r="K7" s="82" t="s">
        <v>93</v>
      </c>
      <c r="L7" s="82" t="s">
        <v>42</v>
      </c>
      <c r="M7" s="82" t="s">
        <v>43</v>
      </c>
      <c r="N7" s="82" t="s">
        <v>42</v>
      </c>
      <c r="O7" s="82" t="s">
        <v>42</v>
      </c>
      <c r="P7" s="82" t="s">
        <v>42</v>
      </c>
      <c r="Q7" s="86">
        <v>0</v>
      </c>
      <c r="R7" s="86">
        <v>0</v>
      </c>
      <c r="S7" s="86">
        <v>0</v>
      </c>
      <c r="T7" s="86">
        <v>0</v>
      </c>
      <c r="U7" s="88"/>
      <c r="V7" s="82" t="s">
        <v>43</v>
      </c>
      <c r="W7" s="82" t="s">
        <v>43</v>
      </c>
      <c r="X7" s="82" t="s">
        <v>43</v>
      </c>
      <c r="Y7" s="82" t="s">
        <v>41</v>
      </c>
      <c r="Z7" s="82" t="s">
        <v>89</v>
      </c>
      <c r="AA7" s="82" t="s">
        <v>43</v>
      </c>
    </row>
    <row r="8" spans="1:27" ht="33.75" x14ac:dyDescent="0.15">
      <c r="A8" s="82" t="s">
        <v>94</v>
      </c>
      <c r="B8" s="81" t="s">
        <v>95</v>
      </c>
      <c r="C8" s="81" t="s">
        <v>95</v>
      </c>
      <c r="D8" s="83" t="s">
        <v>96</v>
      </c>
      <c r="E8" s="82" t="s">
        <v>84</v>
      </c>
      <c r="F8" s="82" t="s">
        <v>85</v>
      </c>
      <c r="G8" s="82" t="s">
        <v>86</v>
      </c>
      <c r="H8" s="82" t="s">
        <v>41</v>
      </c>
      <c r="I8" s="82" t="s">
        <v>42</v>
      </c>
      <c r="J8" s="82" t="s">
        <v>43</v>
      </c>
      <c r="K8" s="82" t="s">
        <v>56</v>
      </c>
      <c r="L8" s="82" t="s">
        <v>42</v>
      </c>
      <c r="M8" s="82" t="s">
        <v>41</v>
      </c>
      <c r="N8" s="82" t="s">
        <v>42</v>
      </c>
      <c r="O8" s="82" t="s">
        <v>42</v>
      </c>
      <c r="P8" s="82" t="s">
        <v>42</v>
      </c>
      <c r="Q8" s="86">
        <v>307.45400000000001</v>
      </c>
      <c r="R8" s="86" t="s">
        <v>97</v>
      </c>
      <c r="S8" s="86" t="s">
        <v>98</v>
      </c>
      <c r="T8" s="86" t="s">
        <v>99</v>
      </c>
      <c r="U8" s="87">
        <v>0.04</v>
      </c>
      <c r="V8" s="82" t="s">
        <v>43</v>
      </c>
      <c r="W8" s="82" t="s">
        <v>43</v>
      </c>
      <c r="X8" s="82" t="s">
        <v>43</v>
      </c>
      <c r="Y8" s="82" t="s">
        <v>43</v>
      </c>
      <c r="Z8" s="82" t="s">
        <v>100</v>
      </c>
      <c r="AA8" s="82" t="s">
        <v>43</v>
      </c>
    </row>
    <row r="9" spans="1:27" ht="33.75" x14ac:dyDescent="0.15">
      <c r="A9" s="82" t="s">
        <v>101</v>
      </c>
      <c r="B9" s="81" t="s">
        <v>102</v>
      </c>
      <c r="C9" s="81" t="s">
        <v>102</v>
      </c>
      <c r="D9" s="83" t="s">
        <v>103</v>
      </c>
      <c r="E9" s="82" t="s">
        <v>53</v>
      </c>
      <c r="F9" s="82" t="s">
        <v>39</v>
      </c>
      <c r="G9" s="82" t="s">
        <v>104</v>
      </c>
      <c r="H9" s="82" t="s">
        <v>41</v>
      </c>
      <c r="I9" s="82" t="s">
        <v>42</v>
      </c>
      <c r="J9" s="82" t="s">
        <v>43</v>
      </c>
      <c r="K9" s="82" t="s">
        <v>56</v>
      </c>
      <c r="L9" s="82" t="s">
        <v>42</v>
      </c>
      <c r="M9" s="82" t="s">
        <v>41</v>
      </c>
      <c r="N9" s="82"/>
      <c r="O9" s="82" t="s">
        <v>41</v>
      </c>
      <c r="P9" s="82" t="s">
        <v>42</v>
      </c>
      <c r="Q9" s="86" t="s">
        <v>105</v>
      </c>
      <c r="R9" s="86" t="s">
        <v>106</v>
      </c>
      <c r="S9" s="86" t="s">
        <v>107</v>
      </c>
      <c r="T9" s="86" t="s">
        <v>108</v>
      </c>
      <c r="U9" s="72">
        <v>0.56000000000000005</v>
      </c>
      <c r="V9" s="82" t="s">
        <v>43</v>
      </c>
      <c r="W9" s="82" t="s">
        <v>43</v>
      </c>
      <c r="X9" s="82" t="s">
        <v>41</v>
      </c>
      <c r="Y9" s="82" t="s">
        <v>43</v>
      </c>
      <c r="Z9" s="82" t="s">
        <v>42</v>
      </c>
      <c r="AA9" s="82" t="s">
        <v>43</v>
      </c>
    </row>
    <row r="10" spans="1:27" ht="33.75" x14ac:dyDescent="0.15">
      <c r="A10" s="82" t="s">
        <v>109</v>
      </c>
      <c r="B10" s="81" t="s">
        <v>110</v>
      </c>
      <c r="C10" s="81" t="s">
        <v>110</v>
      </c>
      <c r="D10" s="83" t="s">
        <v>111</v>
      </c>
      <c r="E10" s="82" t="s">
        <v>53</v>
      </c>
      <c r="F10" s="82" t="s">
        <v>39</v>
      </c>
      <c r="G10" s="82" t="s">
        <v>104</v>
      </c>
      <c r="H10" s="82" t="s">
        <v>41</v>
      </c>
      <c r="I10" s="82" t="s">
        <v>42</v>
      </c>
      <c r="J10" s="82" t="s">
        <v>43</v>
      </c>
      <c r="K10" s="82" t="s">
        <v>56</v>
      </c>
      <c r="L10" s="82" t="s">
        <v>42</v>
      </c>
      <c r="M10" s="82" t="s">
        <v>43</v>
      </c>
      <c r="N10" s="82" t="s">
        <v>42</v>
      </c>
      <c r="O10" s="82" t="s">
        <v>42</v>
      </c>
      <c r="P10" s="82" t="s">
        <v>42</v>
      </c>
      <c r="Q10" s="86">
        <v>182.38800000000001</v>
      </c>
      <c r="R10" s="86">
        <v>347.64100000000002</v>
      </c>
      <c r="S10" s="86">
        <v>819.08</v>
      </c>
      <c r="T10" s="86" t="s">
        <v>112</v>
      </c>
      <c r="U10" s="87">
        <v>0.14000000000000001</v>
      </c>
      <c r="V10" s="82" t="s">
        <v>43</v>
      </c>
      <c r="W10" s="82" t="s">
        <v>43</v>
      </c>
      <c r="X10" s="82" t="s">
        <v>41</v>
      </c>
      <c r="Y10" s="82" t="s">
        <v>43</v>
      </c>
      <c r="Z10" s="82" t="s">
        <v>42</v>
      </c>
      <c r="AA10" s="82" t="s">
        <v>43</v>
      </c>
    </row>
    <row r="11" spans="1:27" ht="56.25" x14ac:dyDescent="0.15">
      <c r="A11" s="82" t="s">
        <v>113</v>
      </c>
      <c r="B11" s="81" t="s">
        <v>114</v>
      </c>
      <c r="C11" s="81" t="s">
        <v>115</v>
      </c>
      <c r="D11" s="83" t="s">
        <v>116</v>
      </c>
      <c r="E11" s="82" t="s">
        <v>64</v>
      </c>
      <c r="F11" s="82" t="s">
        <v>39</v>
      </c>
      <c r="G11" s="82" t="s">
        <v>104</v>
      </c>
      <c r="H11" s="82" t="s">
        <v>43</v>
      </c>
      <c r="I11" s="82" t="s">
        <v>117</v>
      </c>
      <c r="J11" s="82" t="s">
        <v>43</v>
      </c>
      <c r="K11" s="82" t="s">
        <v>93</v>
      </c>
      <c r="L11" s="82" t="s">
        <v>42</v>
      </c>
      <c r="M11" s="82" t="s">
        <v>43</v>
      </c>
      <c r="N11" s="82" t="s">
        <v>42</v>
      </c>
      <c r="O11" s="82" t="s">
        <v>42</v>
      </c>
      <c r="P11" s="82" t="s">
        <v>42</v>
      </c>
      <c r="Q11" s="86">
        <v>0</v>
      </c>
      <c r="R11" s="86">
        <v>0</v>
      </c>
      <c r="S11" s="86">
        <v>0</v>
      </c>
      <c r="T11" s="86">
        <v>0</v>
      </c>
      <c r="U11" s="88"/>
      <c r="V11" s="82" t="s">
        <v>43</v>
      </c>
      <c r="W11" s="82" t="s">
        <v>43</v>
      </c>
      <c r="X11" s="82" t="s">
        <v>43</v>
      </c>
      <c r="Y11" s="82" t="s">
        <v>43</v>
      </c>
      <c r="Z11" s="82" t="s">
        <v>42</v>
      </c>
      <c r="AA11" s="82" t="s">
        <v>43</v>
      </c>
    </row>
    <row r="12" spans="1:27" ht="33.75" x14ac:dyDescent="0.15">
      <c r="A12" s="82" t="s">
        <v>118</v>
      </c>
      <c r="B12" s="81" t="s">
        <v>119</v>
      </c>
      <c r="C12" s="81" t="s">
        <v>119</v>
      </c>
      <c r="D12" s="83">
        <v>5070</v>
      </c>
      <c r="E12" s="82" t="s">
        <v>38</v>
      </c>
      <c r="F12" s="82" t="s">
        <v>39</v>
      </c>
      <c r="G12" s="82" t="s">
        <v>40</v>
      </c>
      <c r="H12" s="82" t="s">
        <v>41</v>
      </c>
      <c r="I12" s="82" t="s">
        <v>42</v>
      </c>
      <c r="J12" s="82" t="s">
        <v>41</v>
      </c>
      <c r="K12" s="82" t="s">
        <v>74</v>
      </c>
      <c r="L12" s="82" t="s">
        <v>42</v>
      </c>
      <c r="M12" s="82" t="s">
        <v>41</v>
      </c>
      <c r="N12" s="69" t="s">
        <v>41</v>
      </c>
      <c r="O12" s="84"/>
      <c r="P12" s="84" t="s">
        <v>42</v>
      </c>
      <c r="Q12" s="86" t="s">
        <v>120</v>
      </c>
      <c r="R12" s="86" t="s">
        <v>121</v>
      </c>
      <c r="S12" s="86" t="s">
        <v>122</v>
      </c>
      <c r="T12" s="86" t="s">
        <v>123</v>
      </c>
      <c r="U12" s="87">
        <v>0.36</v>
      </c>
      <c r="V12" s="82" t="s">
        <v>41</v>
      </c>
      <c r="W12" s="82" t="s">
        <v>41</v>
      </c>
      <c r="X12" s="82" t="s">
        <v>43</v>
      </c>
      <c r="Y12" s="82" t="s">
        <v>43</v>
      </c>
      <c r="Z12" s="82" t="s">
        <v>42</v>
      </c>
      <c r="AA12" s="82" t="s">
        <v>43</v>
      </c>
    </row>
    <row r="13" spans="1:27" ht="56.25" x14ac:dyDescent="0.15">
      <c r="A13" s="95" t="s">
        <v>124</v>
      </c>
      <c r="B13" s="96" t="s">
        <v>82</v>
      </c>
      <c r="C13" s="96" t="s">
        <v>82</v>
      </c>
      <c r="D13" s="97" t="s">
        <v>125</v>
      </c>
      <c r="E13" s="95" t="s">
        <v>84</v>
      </c>
      <c r="F13" s="95" t="s">
        <v>85</v>
      </c>
      <c r="G13" s="95" t="s">
        <v>86</v>
      </c>
      <c r="H13" s="95" t="s">
        <v>41</v>
      </c>
      <c r="I13" s="95" t="s">
        <v>87</v>
      </c>
      <c r="J13" s="95" t="s">
        <v>43</v>
      </c>
      <c r="K13" s="95" t="s">
        <v>93</v>
      </c>
      <c r="L13" s="95" t="s">
        <v>42</v>
      </c>
      <c r="M13" s="95" t="s">
        <v>41</v>
      </c>
      <c r="N13" s="95" t="s">
        <v>42</v>
      </c>
      <c r="O13" s="95" t="s">
        <v>42</v>
      </c>
      <c r="P13" s="95" t="s">
        <v>42</v>
      </c>
      <c r="Q13" s="98" t="s">
        <v>126</v>
      </c>
      <c r="R13" s="98">
        <v>802.78899999999999</v>
      </c>
      <c r="S13" s="98" t="s">
        <v>127</v>
      </c>
      <c r="T13" s="98" t="s">
        <v>128</v>
      </c>
      <c r="U13" s="99">
        <v>0.15</v>
      </c>
      <c r="V13" s="95" t="s">
        <v>43</v>
      </c>
      <c r="W13" s="95" t="s">
        <v>43</v>
      </c>
      <c r="X13" s="95" t="s">
        <v>43</v>
      </c>
      <c r="Y13" s="95" t="s">
        <v>41</v>
      </c>
      <c r="Z13" s="95" t="s">
        <v>89</v>
      </c>
      <c r="AA13" s="95" t="s">
        <v>43</v>
      </c>
    </row>
    <row r="14" spans="1:27" ht="33.75" x14ac:dyDescent="0.15">
      <c r="A14" s="82" t="s">
        <v>129</v>
      </c>
      <c r="B14" s="81" t="s">
        <v>130</v>
      </c>
      <c r="C14" s="81" t="s">
        <v>130</v>
      </c>
      <c r="D14" s="83" t="s">
        <v>131</v>
      </c>
      <c r="E14" s="82" t="s">
        <v>53</v>
      </c>
      <c r="F14" s="82" t="s">
        <v>54</v>
      </c>
      <c r="G14" s="82" t="s">
        <v>132</v>
      </c>
      <c r="H14" s="82" t="s">
        <v>41</v>
      </c>
      <c r="I14" s="82" t="s">
        <v>42</v>
      </c>
      <c r="J14" s="82" t="s">
        <v>43</v>
      </c>
      <c r="K14" s="82" t="s">
        <v>56</v>
      </c>
      <c r="L14" s="82" t="s">
        <v>42</v>
      </c>
      <c r="M14" s="82" t="s">
        <v>41</v>
      </c>
      <c r="N14" s="82" t="s">
        <v>42</v>
      </c>
      <c r="O14" s="82" t="s">
        <v>42</v>
      </c>
      <c r="P14" s="82" t="s">
        <v>42</v>
      </c>
      <c r="Q14" s="86">
        <v>757.29100000000005</v>
      </c>
      <c r="R14" s="86" t="s">
        <v>133</v>
      </c>
      <c r="S14" s="86" t="s">
        <v>134</v>
      </c>
      <c r="T14" s="86" t="s">
        <v>135</v>
      </c>
      <c r="U14" s="87">
        <v>0.18</v>
      </c>
      <c r="V14" s="82" t="s">
        <v>43</v>
      </c>
      <c r="W14" s="82" t="s">
        <v>43</v>
      </c>
      <c r="X14" s="82" t="s">
        <v>43</v>
      </c>
      <c r="Y14" s="82" t="s">
        <v>43</v>
      </c>
      <c r="Z14" s="82" t="s">
        <v>42</v>
      </c>
      <c r="AA14" s="82" t="s">
        <v>43</v>
      </c>
    </row>
    <row r="15" spans="1:27" ht="33.75" x14ac:dyDescent="0.15">
      <c r="A15" s="82" t="s">
        <v>136</v>
      </c>
      <c r="B15" s="81" t="s">
        <v>137</v>
      </c>
      <c r="C15" s="81" t="s">
        <v>137</v>
      </c>
      <c r="D15" s="83">
        <v>6110</v>
      </c>
      <c r="E15" s="82" t="s">
        <v>84</v>
      </c>
      <c r="F15" s="82" t="s">
        <v>85</v>
      </c>
      <c r="G15" s="82" t="s">
        <v>86</v>
      </c>
      <c r="H15" s="82" t="s">
        <v>41</v>
      </c>
      <c r="I15" s="82" t="s">
        <v>42</v>
      </c>
      <c r="J15" s="82" t="s">
        <v>43</v>
      </c>
      <c r="K15" s="82" t="s">
        <v>56</v>
      </c>
      <c r="L15" s="82" t="s">
        <v>42</v>
      </c>
      <c r="M15" s="82" t="s">
        <v>43</v>
      </c>
      <c r="N15" s="82" t="s">
        <v>42</v>
      </c>
      <c r="O15" s="82" t="s">
        <v>42</v>
      </c>
      <c r="P15" s="82" t="s">
        <v>41</v>
      </c>
      <c r="Q15" s="86" t="s">
        <v>138</v>
      </c>
      <c r="R15" s="86" t="s">
        <v>139</v>
      </c>
      <c r="S15" s="86" t="s">
        <v>140</v>
      </c>
      <c r="T15" s="86" t="s">
        <v>141</v>
      </c>
      <c r="U15" s="87">
        <v>0.44</v>
      </c>
      <c r="V15" s="82" t="s">
        <v>43</v>
      </c>
      <c r="W15" s="82" t="s">
        <v>43</v>
      </c>
      <c r="X15" s="82" t="s">
        <v>43</v>
      </c>
      <c r="Y15" s="82" t="s">
        <v>41</v>
      </c>
      <c r="Z15" s="82" t="s">
        <v>142</v>
      </c>
      <c r="AA15" s="82" t="s">
        <v>43</v>
      </c>
    </row>
    <row r="16" spans="1:27" ht="33.75" x14ac:dyDescent="0.15">
      <c r="A16" s="82" t="s">
        <v>143</v>
      </c>
      <c r="B16" s="81" t="s">
        <v>144</v>
      </c>
      <c r="C16" s="81" t="s">
        <v>144</v>
      </c>
      <c r="D16" s="83">
        <v>1170</v>
      </c>
      <c r="E16" s="82" t="s">
        <v>145</v>
      </c>
      <c r="F16" s="82" t="s">
        <v>65</v>
      </c>
      <c r="G16" s="82" t="s">
        <v>73</v>
      </c>
      <c r="H16" s="82" t="s">
        <v>41</v>
      </c>
      <c r="I16" s="82" t="s">
        <v>42</v>
      </c>
      <c r="J16" s="82" t="s">
        <v>43</v>
      </c>
      <c r="K16" s="82" t="s">
        <v>74</v>
      </c>
      <c r="L16" s="82" t="s">
        <v>42</v>
      </c>
      <c r="M16" s="82" t="s">
        <v>41</v>
      </c>
      <c r="N16" s="82" t="s">
        <v>42</v>
      </c>
      <c r="O16" s="82" t="s">
        <v>42</v>
      </c>
      <c r="P16" s="82" t="s">
        <v>42</v>
      </c>
      <c r="Q16" s="86" t="s">
        <v>146</v>
      </c>
      <c r="R16" s="86" t="s">
        <v>147</v>
      </c>
      <c r="S16" s="86" t="s">
        <v>148</v>
      </c>
      <c r="T16" s="86" t="s">
        <v>149</v>
      </c>
      <c r="U16" s="87">
        <v>0.06</v>
      </c>
      <c r="V16" s="82" t="s">
        <v>41</v>
      </c>
      <c r="W16" s="82" t="s">
        <v>41</v>
      </c>
      <c r="X16" s="82" t="s">
        <v>43</v>
      </c>
      <c r="Y16" s="82" t="s">
        <v>43</v>
      </c>
      <c r="Z16" s="82" t="s">
        <v>150</v>
      </c>
      <c r="AA16" s="82" t="s">
        <v>43</v>
      </c>
    </row>
    <row r="17" spans="1:27" ht="33.75" x14ac:dyDescent="0.15">
      <c r="A17" s="82" t="s">
        <v>151</v>
      </c>
      <c r="B17" s="81" t="s">
        <v>152</v>
      </c>
      <c r="C17" s="81" t="s">
        <v>152</v>
      </c>
      <c r="D17" s="83" t="s">
        <v>153</v>
      </c>
      <c r="E17" s="82" t="s">
        <v>38</v>
      </c>
      <c r="F17" s="82" t="s">
        <v>39</v>
      </c>
      <c r="G17" s="82" t="s">
        <v>40</v>
      </c>
      <c r="H17" s="82" t="s">
        <v>41</v>
      </c>
      <c r="I17" s="82" t="s">
        <v>42</v>
      </c>
      <c r="J17" s="82" t="s">
        <v>43</v>
      </c>
      <c r="K17" s="82" t="s">
        <v>74</v>
      </c>
      <c r="L17" s="82" t="s">
        <v>42</v>
      </c>
      <c r="M17" s="82" t="s">
        <v>43</v>
      </c>
      <c r="N17" s="82" t="s">
        <v>42</v>
      </c>
      <c r="O17" s="82" t="s">
        <v>42</v>
      </c>
      <c r="P17" s="82" t="s">
        <v>42</v>
      </c>
      <c r="Q17" s="86">
        <v>134.29300000000001</v>
      </c>
      <c r="R17" s="86" t="s">
        <v>154</v>
      </c>
      <c r="S17" s="86" t="s">
        <v>155</v>
      </c>
      <c r="T17" s="86" t="s">
        <v>156</v>
      </c>
      <c r="U17" s="87">
        <v>0.03</v>
      </c>
      <c r="V17" s="82" t="s">
        <v>43</v>
      </c>
      <c r="W17" s="82" t="s">
        <v>43</v>
      </c>
      <c r="X17" s="82" t="s">
        <v>41</v>
      </c>
      <c r="Y17" s="82" t="s">
        <v>43</v>
      </c>
      <c r="Z17" s="82" t="s">
        <v>42</v>
      </c>
      <c r="AA17" s="82" t="s">
        <v>43</v>
      </c>
    </row>
    <row r="18" spans="1:27" ht="33.75" x14ac:dyDescent="0.15">
      <c r="A18" s="82" t="s">
        <v>157</v>
      </c>
      <c r="B18" s="81" t="s">
        <v>158</v>
      </c>
      <c r="C18" s="81" t="s">
        <v>158</v>
      </c>
      <c r="D18" s="83" t="s">
        <v>159</v>
      </c>
      <c r="E18" s="82" t="s">
        <v>84</v>
      </c>
      <c r="F18" s="82" t="s">
        <v>85</v>
      </c>
      <c r="G18" s="82" t="s">
        <v>86</v>
      </c>
      <c r="H18" s="82" t="s">
        <v>41</v>
      </c>
      <c r="I18" s="82" t="s">
        <v>42</v>
      </c>
      <c r="J18" s="82" t="s">
        <v>43</v>
      </c>
      <c r="K18" s="82" t="s">
        <v>74</v>
      </c>
      <c r="L18" s="82" t="s">
        <v>42</v>
      </c>
      <c r="M18" s="82" t="s">
        <v>41</v>
      </c>
      <c r="N18" s="82" t="s">
        <v>42</v>
      </c>
      <c r="O18" s="82" t="s">
        <v>42</v>
      </c>
      <c r="P18" s="82" t="s">
        <v>42</v>
      </c>
      <c r="Q18" s="86" t="s">
        <v>160</v>
      </c>
      <c r="R18" s="86" t="s">
        <v>161</v>
      </c>
      <c r="S18" s="86" t="s">
        <v>162</v>
      </c>
      <c r="T18" s="86" t="s">
        <v>163</v>
      </c>
      <c r="U18" s="87">
        <v>0.11</v>
      </c>
      <c r="V18" s="82" t="s">
        <v>43</v>
      </c>
      <c r="W18" s="82" t="s">
        <v>43</v>
      </c>
      <c r="X18" s="82" t="s">
        <v>41</v>
      </c>
      <c r="Y18" s="82" t="s">
        <v>43</v>
      </c>
      <c r="Z18" s="82" t="s">
        <v>100</v>
      </c>
      <c r="AA18" s="82" t="s">
        <v>43</v>
      </c>
    </row>
    <row r="19" spans="1:27" ht="33.75" x14ac:dyDescent="0.15">
      <c r="A19" s="82" t="s">
        <v>164</v>
      </c>
      <c r="B19" s="81" t="s">
        <v>165</v>
      </c>
      <c r="C19" s="81" t="s">
        <v>165</v>
      </c>
      <c r="D19" s="83" t="s">
        <v>166</v>
      </c>
      <c r="E19" s="82" t="s">
        <v>53</v>
      </c>
      <c r="F19" s="82" t="s">
        <v>54</v>
      </c>
      <c r="G19" s="82" t="s">
        <v>55</v>
      </c>
      <c r="H19" s="82" t="s">
        <v>41</v>
      </c>
      <c r="I19" s="82" t="s">
        <v>42</v>
      </c>
      <c r="J19" s="82" t="s">
        <v>43</v>
      </c>
      <c r="K19" s="82" t="s">
        <v>56</v>
      </c>
      <c r="L19" s="82" t="s">
        <v>42</v>
      </c>
      <c r="M19" s="82" t="s">
        <v>41</v>
      </c>
      <c r="N19" s="82" t="s">
        <v>42</v>
      </c>
      <c r="O19" s="82" t="s">
        <v>42</v>
      </c>
      <c r="P19" s="82" t="s">
        <v>42</v>
      </c>
      <c r="Q19" s="86">
        <v>950.55899999999997</v>
      </c>
      <c r="R19" s="86" t="s">
        <v>167</v>
      </c>
      <c r="S19" s="86" t="s">
        <v>168</v>
      </c>
      <c r="T19" s="86" t="s">
        <v>169</v>
      </c>
      <c r="U19" s="87">
        <v>0.12</v>
      </c>
      <c r="V19" s="82" t="s">
        <v>43</v>
      </c>
      <c r="W19" s="82" t="s">
        <v>43</v>
      </c>
      <c r="X19" s="82" t="s">
        <v>43</v>
      </c>
      <c r="Y19" s="82" t="s">
        <v>43</v>
      </c>
      <c r="Z19" s="82" t="s">
        <v>42</v>
      </c>
      <c r="AA19" s="82" t="s">
        <v>43</v>
      </c>
    </row>
    <row r="20" spans="1:27" ht="33.75" x14ac:dyDescent="0.15">
      <c r="A20" s="82" t="s">
        <v>170</v>
      </c>
      <c r="B20" s="81" t="s">
        <v>171</v>
      </c>
      <c r="C20" s="81" t="s">
        <v>171</v>
      </c>
      <c r="D20" s="83" t="s">
        <v>172</v>
      </c>
      <c r="E20" s="82" t="s">
        <v>72</v>
      </c>
      <c r="F20" s="82" t="s">
        <v>65</v>
      </c>
      <c r="G20" s="82" t="s">
        <v>73</v>
      </c>
      <c r="H20" s="82" t="s">
        <v>41</v>
      </c>
      <c r="I20" s="82" t="s">
        <v>42</v>
      </c>
      <c r="J20" s="82" t="s">
        <v>41</v>
      </c>
      <c r="K20" s="82" t="s">
        <v>56</v>
      </c>
      <c r="L20" s="82" t="s">
        <v>42</v>
      </c>
      <c r="M20" s="82" t="s">
        <v>41</v>
      </c>
      <c r="N20" s="82" t="s">
        <v>42</v>
      </c>
      <c r="O20" s="82" t="s">
        <v>42</v>
      </c>
      <c r="P20" s="82" t="s">
        <v>42</v>
      </c>
      <c r="Q20" s="86">
        <v>149</v>
      </c>
      <c r="R20" s="86" t="s">
        <v>173</v>
      </c>
      <c r="S20" s="86" t="s">
        <v>174</v>
      </c>
      <c r="T20" s="86" t="s">
        <v>175</v>
      </c>
      <c r="U20" s="87">
        <v>0.05</v>
      </c>
      <c r="V20" s="82" t="s">
        <v>43</v>
      </c>
      <c r="W20" s="82" t="s">
        <v>43</v>
      </c>
      <c r="X20" s="82" t="s">
        <v>41</v>
      </c>
      <c r="Y20" s="82" t="s">
        <v>43</v>
      </c>
      <c r="Z20" s="82" t="s">
        <v>176</v>
      </c>
      <c r="AA20" s="82" t="s">
        <v>43</v>
      </c>
    </row>
    <row r="21" spans="1:27" ht="33.75" x14ac:dyDescent="0.15">
      <c r="A21" s="82" t="s">
        <v>177</v>
      </c>
      <c r="B21" s="81" t="s">
        <v>178</v>
      </c>
      <c r="C21" s="81" t="s">
        <v>178</v>
      </c>
      <c r="D21" s="83" t="s">
        <v>179</v>
      </c>
      <c r="E21" s="82" t="s">
        <v>84</v>
      </c>
      <c r="F21" s="82" t="s">
        <v>85</v>
      </c>
      <c r="G21" s="82" t="s">
        <v>86</v>
      </c>
      <c r="H21" s="82" t="s">
        <v>41</v>
      </c>
      <c r="I21" s="82" t="s">
        <v>42</v>
      </c>
      <c r="J21" s="82" t="s">
        <v>41</v>
      </c>
      <c r="K21" s="82" t="s">
        <v>56</v>
      </c>
      <c r="L21" s="82" t="s">
        <v>42</v>
      </c>
      <c r="M21" s="82" t="s">
        <v>41</v>
      </c>
      <c r="N21" s="82" t="s">
        <v>42</v>
      </c>
      <c r="O21" s="82" t="s">
        <v>42</v>
      </c>
      <c r="P21" s="82" t="s">
        <v>42</v>
      </c>
      <c r="Q21" s="86" t="s">
        <v>180</v>
      </c>
      <c r="R21" s="86" t="s">
        <v>181</v>
      </c>
      <c r="S21" s="86" t="s">
        <v>182</v>
      </c>
      <c r="T21" s="86" t="s">
        <v>183</v>
      </c>
      <c r="U21" s="87">
        <v>0.18</v>
      </c>
      <c r="V21" s="82" t="s">
        <v>43</v>
      </c>
      <c r="W21" s="82" t="s">
        <v>43</v>
      </c>
      <c r="X21" s="82" t="s">
        <v>43</v>
      </c>
      <c r="Y21" s="82" t="s">
        <v>43</v>
      </c>
      <c r="Z21" s="82" t="s">
        <v>100</v>
      </c>
      <c r="AA21" s="82" t="s">
        <v>43</v>
      </c>
    </row>
    <row r="22" spans="1:27" ht="56.25" x14ac:dyDescent="0.15">
      <c r="A22" s="82" t="s">
        <v>184</v>
      </c>
      <c r="B22" s="81" t="s">
        <v>185</v>
      </c>
      <c r="C22" s="81" t="s">
        <v>82</v>
      </c>
      <c r="D22" s="83" t="s">
        <v>186</v>
      </c>
      <c r="E22" s="82" t="s">
        <v>84</v>
      </c>
      <c r="F22" s="82" t="s">
        <v>85</v>
      </c>
      <c r="G22" s="82" t="s">
        <v>86</v>
      </c>
      <c r="H22" s="82" t="s">
        <v>43</v>
      </c>
      <c r="I22" s="82" t="s">
        <v>87</v>
      </c>
      <c r="J22" s="82" t="s">
        <v>43</v>
      </c>
      <c r="K22" s="82" t="s">
        <v>93</v>
      </c>
      <c r="L22" s="82" t="s">
        <v>42</v>
      </c>
      <c r="M22" s="82" t="s">
        <v>43</v>
      </c>
      <c r="N22" s="82" t="s">
        <v>42</v>
      </c>
      <c r="O22" s="82" t="s">
        <v>42</v>
      </c>
      <c r="P22" s="82" t="s">
        <v>42</v>
      </c>
      <c r="Q22" s="86">
        <v>0</v>
      </c>
      <c r="R22" s="86">
        <v>0</v>
      </c>
      <c r="S22" s="86">
        <v>0</v>
      </c>
      <c r="T22" s="86">
        <v>0</v>
      </c>
      <c r="U22" s="88"/>
      <c r="V22" s="82" t="s">
        <v>43</v>
      </c>
      <c r="W22" s="82" t="s">
        <v>43</v>
      </c>
      <c r="X22" s="82" t="s">
        <v>43</v>
      </c>
      <c r="Y22" s="82" t="s">
        <v>41</v>
      </c>
      <c r="Z22" s="82" t="s">
        <v>89</v>
      </c>
      <c r="AA22" s="82" t="s">
        <v>43</v>
      </c>
    </row>
    <row r="23" spans="1:27" ht="22.5" x14ac:dyDescent="0.15">
      <c r="A23" s="82" t="s">
        <v>187</v>
      </c>
      <c r="B23" s="81" t="s">
        <v>188</v>
      </c>
      <c r="C23" s="81" t="s">
        <v>188</v>
      </c>
      <c r="D23" s="83" t="s">
        <v>189</v>
      </c>
      <c r="E23" s="82" t="s">
        <v>53</v>
      </c>
      <c r="F23" s="82" t="s">
        <v>54</v>
      </c>
      <c r="G23" s="82" t="s">
        <v>132</v>
      </c>
      <c r="H23" s="82" t="s">
        <v>41</v>
      </c>
      <c r="I23" s="82" t="s">
        <v>42</v>
      </c>
      <c r="J23" s="82" t="s">
        <v>43</v>
      </c>
      <c r="K23" s="82" t="s">
        <v>93</v>
      </c>
      <c r="L23" s="82" t="s">
        <v>42</v>
      </c>
      <c r="M23" s="82" t="s">
        <v>41</v>
      </c>
      <c r="N23" s="82" t="s">
        <v>42</v>
      </c>
      <c r="O23" s="82" t="s">
        <v>42</v>
      </c>
      <c r="P23" s="82" t="s">
        <v>41</v>
      </c>
      <c r="Q23" s="86" t="s">
        <v>190</v>
      </c>
      <c r="R23" s="86" t="s">
        <v>191</v>
      </c>
      <c r="S23" s="86" t="s">
        <v>192</v>
      </c>
      <c r="T23" s="86" t="s">
        <v>193</v>
      </c>
      <c r="U23" s="87">
        <v>0.32</v>
      </c>
      <c r="V23" s="82" t="s">
        <v>43</v>
      </c>
      <c r="W23" s="82" t="s">
        <v>43</v>
      </c>
      <c r="X23" s="82" t="s">
        <v>43</v>
      </c>
      <c r="Y23" s="82" t="s">
        <v>43</v>
      </c>
      <c r="Z23" s="82" t="s">
        <v>42</v>
      </c>
      <c r="AA23" s="82" t="s">
        <v>43</v>
      </c>
    </row>
    <row r="24" spans="1:27" ht="22.5" x14ac:dyDescent="0.15">
      <c r="A24" s="82" t="s">
        <v>194</v>
      </c>
      <c r="B24" s="81" t="s">
        <v>195</v>
      </c>
      <c r="C24" s="81" t="s">
        <v>195</v>
      </c>
      <c r="D24" s="83">
        <v>4590</v>
      </c>
      <c r="E24" s="82" t="s">
        <v>145</v>
      </c>
      <c r="F24" s="82" t="s">
        <v>65</v>
      </c>
      <c r="G24" s="82" t="s">
        <v>73</v>
      </c>
      <c r="H24" s="82" t="s">
        <v>41</v>
      </c>
      <c r="I24" s="82" t="s">
        <v>42</v>
      </c>
      <c r="J24" s="82" t="s">
        <v>43</v>
      </c>
      <c r="K24" s="82" t="s">
        <v>44</v>
      </c>
      <c r="L24" s="82" t="s">
        <v>45</v>
      </c>
      <c r="M24" s="82" t="s">
        <v>41</v>
      </c>
      <c r="N24" s="69" t="s">
        <v>41</v>
      </c>
      <c r="O24" s="84"/>
      <c r="P24" s="84" t="s">
        <v>42</v>
      </c>
      <c r="Q24" s="86" t="s">
        <v>196</v>
      </c>
      <c r="R24" s="86" t="s">
        <v>197</v>
      </c>
      <c r="S24" s="86" t="s">
        <v>198</v>
      </c>
      <c r="T24" s="86" t="s">
        <v>199</v>
      </c>
      <c r="U24" s="87">
        <v>0.27</v>
      </c>
      <c r="V24" s="82" t="s">
        <v>41</v>
      </c>
      <c r="W24" s="82" t="s">
        <v>41</v>
      </c>
      <c r="X24" s="82" t="s">
        <v>41</v>
      </c>
      <c r="Y24" s="82" t="s">
        <v>43</v>
      </c>
      <c r="Z24" s="82" t="s">
        <v>150</v>
      </c>
      <c r="AA24" s="82" t="s">
        <v>41</v>
      </c>
    </row>
    <row r="25" spans="1:27" ht="33.75" x14ac:dyDescent="0.15">
      <c r="A25" s="82" t="s">
        <v>200</v>
      </c>
      <c r="B25" s="81" t="s">
        <v>201</v>
      </c>
      <c r="C25" s="81" t="s">
        <v>201</v>
      </c>
      <c r="D25" s="83" t="s">
        <v>202</v>
      </c>
      <c r="E25" s="82" t="s">
        <v>72</v>
      </c>
      <c r="F25" s="82" t="s">
        <v>65</v>
      </c>
      <c r="G25" s="82" t="s">
        <v>73</v>
      </c>
      <c r="H25" s="82" t="s">
        <v>41</v>
      </c>
      <c r="I25" s="82" t="s">
        <v>42</v>
      </c>
      <c r="J25" s="82" t="s">
        <v>41</v>
      </c>
      <c r="K25" s="82" t="s">
        <v>44</v>
      </c>
      <c r="L25" s="82" t="s">
        <v>203</v>
      </c>
      <c r="M25" s="82" t="s">
        <v>41</v>
      </c>
      <c r="N25" s="82" t="s">
        <v>42</v>
      </c>
      <c r="O25" s="82" t="s">
        <v>42</v>
      </c>
      <c r="P25" s="82" t="s">
        <v>42</v>
      </c>
      <c r="Q25" s="86" t="s">
        <v>204</v>
      </c>
      <c r="R25" s="86" t="s">
        <v>205</v>
      </c>
      <c r="S25" s="86" t="s">
        <v>206</v>
      </c>
      <c r="T25" s="86" t="s">
        <v>207</v>
      </c>
      <c r="U25" s="87">
        <v>0.16</v>
      </c>
      <c r="V25" s="82" t="s">
        <v>43</v>
      </c>
      <c r="W25" s="82" t="s">
        <v>41</v>
      </c>
      <c r="X25" s="82" t="s">
        <v>41</v>
      </c>
      <c r="Y25" s="82" t="s">
        <v>43</v>
      </c>
      <c r="Z25" s="82" t="s">
        <v>208</v>
      </c>
      <c r="AA25" s="82" t="s">
        <v>43</v>
      </c>
    </row>
    <row r="26" spans="1:27" ht="33.75" x14ac:dyDescent="0.15">
      <c r="A26" s="82" t="s">
        <v>209</v>
      </c>
      <c r="B26" s="81" t="s">
        <v>210</v>
      </c>
      <c r="C26" s="81" t="s">
        <v>210</v>
      </c>
      <c r="D26" s="83">
        <v>6820</v>
      </c>
      <c r="E26" s="82" t="s">
        <v>145</v>
      </c>
      <c r="F26" s="82" t="s">
        <v>65</v>
      </c>
      <c r="G26" s="82" t="s">
        <v>73</v>
      </c>
      <c r="H26" s="82" t="s">
        <v>41</v>
      </c>
      <c r="I26" s="82" t="s">
        <v>42</v>
      </c>
      <c r="J26" s="82" t="s">
        <v>43</v>
      </c>
      <c r="K26" s="82" t="s">
        <v>56</v>
      </c>
      <c r="L26" s="82" t="s">
        <v>42</v>
      </c>
      <c r="M26" s="82" t="s">
        <v>43</v>
      </c>
      <c r="N26" s="82"/>
      <c r="O26" s="82" t="s">
        <v>42</v>
      </c>
      <c r="P26" s="82" t="s">
        <v>42</v>
      </c>
      <c r="Q26" s="86">
        <v>127.556</v>
      </c>
      <c r="R26" s="86">
        <v>198.16399999999999</v>
      </c>
      <c r="S26" s="86">
        <v>777.36699999999996</v>
      </c>
      <c r="T26" s="86" t="s">
        <v>211</v>
      </c>
      <c r="U26" s="87">
        <v>0.12</v>
      </c>
      <c r="V26" s="82" t="s">
        <v>43</v>
      </c>
      <c r="W26" s="82" t="s">
        <v>43</v>
      </c>
      <c r="X26" s="82" t="s">
        <v>43</v>
      </c>
      <c r="Y26" s="82" t="s">
        <v>41</v>
      </c>
      <c r="Z26" s="82" t="s">
        <v>150</v>
      </c>
      <c r="AA26" s="82" t="s">
        <v>43</v>
      </c>
    </row>
    <row r="27" spans="1:27" ht="33.75" x14ac:dyDescent="0.15">
      <c r="A27" s="82" t="s">
        <v>212</v>
      </c>
      <c r="B27" s="81" t="s">
        <v>213</v>
      </c>
      <c r="C27" s="81" t="s">
        <v>213</v>
      </c>
      <c r="D27" s="83" t="s">
        <v>214</v>
      </c>
      <c r="E27" s="82" t="s">
        <v>215</v>
      </c>
      <c r="F27" s="82" t="s">
        <v>39</v>
      </c>
      <c r="G27" s="82" t="s">
        <v>216</v>
      </c>
      <c r="H27" s="82" t="s">
        <v>41</v>
      </c>
      <c r="I27" s="82" t="s">
        <v>42</v>
      </c>
      <c r="J27" s="82" t="s">
        <v>43</v>
      </c>
      <c r="K27" s="82" t="s">
        <v>74</v>
      </c>
      <c r="L27" s="82" t="s">
        <v>42</v>
      </c>
      <c r="M27" s="82" t="s">
        <v>43</v>
      </c>
      <c r="N27" s="82" t="s">
        <v>42</v>
      </c>
      <c r="O27" s="82" t="s">
        <v>42</v>
      </c>
      <c r="P27" s="82" t="s">
        <v>42</v>
      </c>
      <c r="Q27" s="86" t="s">
        <v>217</v>
      </c>
      <c r="R27" s="86" t="s">
        <v>218</v>
      </c>
      <c r="S27" s="86" t="s">
        <v>219</v>
      </c>
      <c r="T27" s="86" t="s">
        <v>220</v>
      </c>
      <c r="U27" s="87">
        <v>0.1</v>
      </c>
      <c r="V27" s="82" t="s">
        <v>43</v>
      </c>
      <c r="W27" s="82" t="s">
        <v>41</v>
      </c>
      <c r="X27" s="82" t="s">
        <v>43</v>
      </c>
      <c r="Y27" s="82" t="s">
        <v>43</v>
      </c>
      <c r="Z27" s="82" t="s">
        <v>42</v>
      </c>
      <c r="AA27" s="82" t="s">
        <v>43</v>
      </c>
    </row>
    <row r="28" spans="1:27" ht="33.75" x14ac:dyDescent="0.15">
      <c r="A28" s="82" t="s">
        <v>221</v>
      </c>
      <c r="B28" s="81" t="s">
        <v>222</v>
      </c>
      <c r="C28" s="81" t="s">
        <v>222</v>
      </c>
      <c r="D28" s="83" t="s">
        <v>223</v>
      </c>
      <c r="E28" s="82" t="s">
        <v>145</v>
      </c>
      <c r="F28" s="82" t="s">
        <v>65</v>
      </c>
      <c r="G28" s="82" t="s">
        <v>73</v>
      </c>
      <c r="H28" s="82" t="s">
        <v>41</v>
      </c>
      <c r="I28" s="82" t="s">
        <v>42</v>
      </c>
      <c r="J28" s="82" t="s">
        <v>43</v>
      </c>
      <c r="K28" s="82" t="s">
        <v>44</v>
      </c>
      <c r="L28" s="82" t="s">
        <v>45</v>
      </c>
      <c r="M28" s="82" t="s">
        <v>41</v>
      </c>
      <c r="N28" s="69" t="s">
        <v>41</v>
      </c>
      <c r="O28" s="84"/>
      <c r="P28" s="84" t="s">
        <v>42</v>
      </c>
      <c r="Q28" s="86" t="s">
        <v>224</v>
      </c>
      <c r="R28" s="86" t="s">
        <v>225</v>
      </c>
      <c r="S28" s="86" t="s">
        <v>226</v>
      </c>
      <c r="T28" s="86" t="s">
        <v>227</v>
      </c>
      <c r="U28" s="87">
        <v>0.32</v>
      </c>
      <c r="V28" s="82" t="s">
        <v>43</v>
      </c>
      <c r="W28" s="82" t="s">
        <v>41</v>
      </c>
      <c r="X28" s="82" t="s">
        <v>41</v>
      </c>
      <c r="Y28" s="82" t="s">
        <v>43</v>
      </c>
      <c r="Z28" s="82" t="s">
        <v>79</v>
      </c>
      <c r="AA28" s="82" t="s">
        <v>41</v>
      </c>
    </row>
    <row r="29" spans="1:27" ht="33.75" x14ac:dyDescent="0.15">
      <c r="A29" s="82" t="s">
        <v>228</v>
      </c>
      <c r="B29" s="81" t="s">
        <v>229</v>
      </c>
      <c r="C29" s="81" t="s">
        <v>229</v>
      </c>
      <c r="D29" s="83" t="s">
        <v>230</v>
      </c>
      <c r="E29" s="82" t="s">
        <v>145</v>
      </c>
      <c r="F29" s="82" t="s">
        <v>65</v>
      </c>
      <c r="G29" s="82" t="s">
        <v>73</v>
      </c>
      <c r="H29" s="82" t="s">
        <v>41</v>
      </c>
      <c r="I29" s="82" t="s">
        <v>42</v>
      </c>
      <c r="J29" s="82" t="s">
        <v>41</v>
      </c>
      <c r="K29" s="82" t="s">
        <v>44</v>
      </c>
      <c r="L29" s="82" t="s">
        <v>203</v>
      </c>
      <c r="M29" s="82" t="s">
        <v>41</v>
      </c>
      <c r="N29" s="69" t="s">
        <v>41</v>
      </c>
      <c r="O29" s="84"/>
      <c r="P29" s="84" t="s">
        <v>42</v>
      </c>
      <c r="Q29" s="86" t="s">
        <v>231</v>
      </c>
      <c r="R29" s="86" t="s">
        <v>232</v>
      </c>
      <c r="S29" s="86" t="s">
        <v>233</v>
      </c>
      <c r="T29" s="86" t="s">
        <v>234</v>
      </c>
      <c r="U29" s="87">
        <v>0.31</v>
      </c>
      <c r="V29" s="82" t="s">
        <v>41</v>
      </c>
      <c r="W29" s="82" t="s">
        <v>41</v>
      </c>
      <c r="X29" s="82" t="s">
        <v>41</v>
      </c>
      <c r="Y29" s="82" t="s">
        <v>43</v>
      </c>
      <c r="Z29" s="82" t="s">
        <v>79</v>
      </c>
      <c r="AA29" s="82" t="s">
        <v>41</v>
      </c>
    </row>
    <row r="30" spans="1:27" ht="33.75" x14ac:dyDescent="0.15">
      <c r="A30" s="82" t="s">
        <v>235</v>
      </c>
      <c r="B30" s="81" t="s">
        <v>236</v>
      </c>
      <c r="C30" s="81" t="s">
        <v>236</v>
      </c>
      <c r="D30" s="83" t="s">
        <v>237</v>
      </c>
      <c r="E30" s="82" t="s">
        <v>84</v>
      </c>
      <c r="F30" s="82" t="s">
        <v>85</v>
      </c>
      <c r="G30" s="82" t="s">
        <v>86</v>
      </c>
      <c r="H30" s="82" t="s">
        <v>41</v>
      </c>
      <c r="I30" s="82" t="s">
        <v>42</v>
      </c>
      <c r="J30" s="82" t="s">
        <v>43</v>
      </c>
      <c r="K30" s="82" t="s">
        <v>93</v>
      </c>
      <c r="L30" s="82" t="s">
        <v>42</v>
      </c>
      <c r="M30" s="82" t="s">
        <v>41</v>
      </c>
      <c r="N30" s="82" t="s">
        <v>42</v>
      </c>
      <c r="O30" s="82" t="s">
        <v>42</v>
      </c>
      <c r="P30" s="82" t="s">
        <v>42</v>
      </c>
      <c r="Q30" s="86">
        <v>764.62199999999996</v>
      </c>
      <c r="R30" s="86" t="s">
        <v>238</v>
      </c>
      <c r="S30" s="86" t="s">
        <v>239</v>
      </c>
      <c r="T30" s="86" t="s">
        <v>240</v>
      </c>
      <c r="U30" s="87">
        <v>0.17</v>
      </c>
      <c r="V30" s="82" t="s">
        <v>43</v>
      </c>
      <c r="W30" s="82" t="s">
        <v>43</v>
      </c>
      <c r="X30" s="82" t="s">
        <v>43</v>
      </c>
      <c r="Y30" s="82" t="s">
        <v>43</v>
      </c>
      <c r="Z30" s="82" t="s">
        <v>100</v>
      </c>
      <c r="AA30" s="82" t="s">
        <v>43</v>
      </c>
    </row>
    <row r="31" spans="1:27" ht="33.75" x14ac:dyDescent="0.15">
      <c r="A31" s="82" t="s">
        <v>241</v>
      </c>
      <c r="B31" s="81" t="s">
        <v>242</v>
      </c>
      <c r="C31" s="81" t="s">
        <v>242</v>
      </c>
      <c r="D31" s="83" t="s">
        <v>243</v>
      </c>
      <c r="E31" s="82" t="s">
        <v>215</v>
      </c>
      <c r="F31" s="82" t="s">
        <v>39</v>
      </c>
      <c r="G31" s="82" t="s">
        <v>244</v>
      </c>
      <c r="H31" s="82" t="s">
        <v>41</v>
      </c>
      <c r="I31" s="82" t="s">
        <v>42</v>
      </c>
      <c r="J31" s="82" t="s">
        <v>41</v>
      </c>
      <c r="K31" s="82" t="s">
        <v>56</v>
      </c>
      <c r="L31" s="82" t="s">
        <v>42</v>
      </c>
      <c r="M31" s="82" t="s">
        <v>41</v>
      </c>
      <c r="N31" s="82" t="s">
        <v>42</v>
      </c>
      <c r="O31" s="82" t="s">
        <v>42</v>
      </c>
      <c r="P31" s="82" t="s">
        <v>42</v>
      </c>
      <c r="Q31" s="86">
        <v>43</v>
      </c>
      <c r="R31" s="86" t="s">
        <v>245</v>
      </c>
      <c r="S31" s="86">
        <v>6.8209999999999997</v>
      </c>
      <c r="T31" s="86" t="s">
        <v>246</v>
      </c>
      <c r="U31" s="87">
        <v>0</v>
      </c>
      <c r="V31" s="82" t="s">
        <v>43</v>
      </c>
      <c r="W31" s="82" t="s">
        <v>43</v>
      </c>
      <c r="X31" s="82" t="s">
        <v>43</v>
      </c>
      <c r="Y31" s="82" t="s">
        <v>43</v>
      </c>
      <c r="Z31" s="82" t="s">
        <v>42</v>
      </c>
      <c r="AA31" s="82" t="s">
        <v>43</v>
      </c>
    </row>
    <row r="32" spans="1:27" ht="33.75" x14ac:dyDescent="0.15">
      <c r="A32" s="82" t="s">
        <v>247</v>
      </c>
      <c r="B32" s="81" t="s">
        <v>248</v>
      </c>
      <c r="C32" s="81" t="s">
        <v>248</v>
      </c>
      <c r="D32" s="83" t="s">
        <v>249</v>
      </c>
      <c r="E32" s="82" t="s">
        <v>84</v>
      </c>
      <c r="F32" s="82" t="s">
        <v>85</v>
      </c>
      <c r="G32" s="82" t="s">
        <v>86</v>
      </c>
      <c r="H32" s="82" t="s">
        <v>41</v>
      </c>
      <c r="I32" s="82" t="s">
        <v>42</v>
      </c>
      <c r="J32" s="82" t="s">
        <v>43</v>
      </c>
      <c r="K32" s="82" t="s">
        <v>56</v>
      </c>
      <c r="L32" s="82" t="s">
        <v>42</v>
      </c>
      <c r="M32" s="82" t="s">
        <v>41</v>
      </c>
      <c r="N32" s="69" t="s">
        <v>41</v>
      </c>
      <c r="O32" s="84" t="s">
        <v>42</v>
      </c>
      <c r="P32" s="84" t="s">
        <v>41</v>
      </c>
      <c r="Q32" s="86" t="s">
        <v>250</v>
      </c>
      <c r="R32" s="86" t="s">
        <v>251</v>
      </c>
      <c r="S32" s="86" t="s">
        <v>252</v>
      </c>
      <c r="T32" s="86" t="s">
        <v>253</v>
      </c>
      <c r="U32" s="87">
        <v>0.35</v>
      </c>
      <c r="V32" s="82" t="s">
        <v>43</v>
      </c>
      <c r="W32" s="82" t="s">
        <v>43</v>
      </c>
      <c r="X32" s="82" t="s">
        <v>43</v>
      </c>
      <c r="Y32" s="82" t="s">
        <v>43</v>
      </c>
      <c r="Z32" s="82" t="s">
        <v>100</v>
      </c>
      <c r="AA32" s="82" t="s">
        <v>41</v>
      </c>
    </row>
    <row r="33" spans="1:27" ht="33.75" x14ac:dyDescent="0.15">
      <c r="A33" s="82" t="s">
        <v>254</v>
      </c>
      <c r="B33" s="81" t="s">
        <v>255</v>
      </c>
      <c r="C33" s="81" t="s">
        <v>255</v>
      </c>
      <c r="D33" s="83">
        <v>6620</v>
      </c>
      <c r="E33" s="82" t="s">
        <v>72</v>
      </c>
      <c r="F33" s="82" t="s">
        <v>65</v>
      </c>
      <c r="G33" s="82" t="s">
        <v>73</v>
      </c>
      <c r="H33" s="82" t="s">
        <v>41</v>
      </c>
      <c r="I33" s="82" t="s">
        <v>42</v>
      </c>
      <c r="J33" s="82" t="s">
        <v>43</v>
      </c>
      <c r="K33" s="82" t="s">
        <v>74</v>
      </c>
      <c r="L33" s="82" t="s">
        <v>203</v>
      </c>
      <c r="M33" s="82" t="s">
        <v>41</v>
      </c>
      <c r="N33" s="82" t="s">
        <v>42</v>
      </c>
      <c r="O33" s="82" t="s">
        <v>42</v>
      </c>
      <c r="P33" s="82" t="s">
        <v>42</v>
      </c>
      <c r="Q33" s="86">
        <v>961.17399999999998</v>
      </c>
      <c r="R33" s="86" t="s">
        <v>256</v>
      </c>
      <c r="S33" s="86" t="s">
        <v>257</v>
      </c>
      <c r="T33" s="86" t="s">
        <v>258</v>
      </c>
      <c r="U33" s="87">
        <v>0.19</v>
      </c>
      <c r="V33" s="82" t="s">
        <v>43</v>
      </c>
      <c r="W33" s="82" t="s">
        <v>41</v>
      </c>
      <c r="X33" s="82" t="s">
        <v>43</v>
      </c>
      <c r="Y33" s="82" t="s">
        <v>41</v>
      </c>
      <c r="Z33" s="82" t="s">
        <v>208</v>
      </c>
      <c r="AA33" s="82" t="s">
        <v>43</v>
      </c>
    </row>
    <row r="34" spans="1:27" ht="33.75" x14ac:dyDescent="0.15">
      <c r="A34" s="82" t="s">
        <v>259</v>
      </c>
      <c r="B34" s="81" t="s">
        <v>260</v>
      </c>
      <c r="C34" s="81" t="s">
        <v>260</v>
      </c>
      <c r="D34" s="83">
        <v>3380</v>
      </c>
      <c r="E34" s="82" t="s">
        <v>145</v>
      </c>
      <c r="F34" s="82" t="s">
        <v>65</v>
      </c>
      <c r="G34" s="82" t="s">
        <v>73</v>
      </c>
      <c r="H34" s="82" t="s">
        <v>41</v>
      </c>
      <c r="I34" s="82" t="s">
        <v>42</v>
      </c>
      <c r="J34" s="82" t="s">
        <v>43</v>
      </c>
      <c r="K34" s="82" t="s">
        <v>74</v>
      </c>
      <c r="L34" s="82" t="s">
        <v>203</v>
      </c>
      <c r="M34" s="82" t="s">
        <v>41</v>
      </c>
      <c r="N34" s="82" t="s">
        <v>42</v>
      </c>
      <c r="O34" s="82" t="s">
        <v>42</v>
      </c>
      <c r="P34" s="82" t="s">
        <v>42</v>
      </c>
      <c r="Q34" s="86" t="s">
        <v>261</v>
      </c>
      <c r="R34" s="86" t="s">
        <v>262</v>
      </c>
      <c r="S34" s="86" t="s">
        <v>263</v>
      </c>
      <c r="T34" s="86" t="s">
        <v>264</v>
      </c>
      <c r="U34" s="87">
        <v>0.21</v>
      </c>
      <c r="V34" s="82" t="s">
        <v>43</v>
      </c>
      <c r="W34" s="82" t="s">
        <v>43</v>
      </c>
      <c r="X34" s="82" t="s">
        <v>43</v>
      </c>
      <c r="Y34" s="82" t="s">
        <v>43</v>
      </c>
      <c r="Z34" s="82" t="s">
        <v>79</v>
      </c>
      <c r="AA34" s="82" t="s">
        <v>43</v>
      </c>
    </row>
    <row r="35" spans="1:27" ht="56.25" x14ac:dyDescent="0.15">
      <c r="A35" s="82" t="s">
        <v>265</v>
      </c>
      <c r="B35" s="81" t="s">
        <v>266</v>
      </c>
      <c r="C35" s="81" t="s">
        <v>267</v>
      </c>
      <c r="D35" s="83" t="s">
        <v>268</v>
      </c>
      <c r="E35" s="82" t="s">
        <v>215</v>
      </c>
      <c r="F35" s="82" t="s">
        <v>269</v>
      </c>
      <c r="G35" s="82" t="s">
        <v>270</v>
      </c>
      <c r="H35" s="82" t="s">
        <v>43</v>
      </c>
      <c r="I35" s="82" t="s">
        <v>271</v>
      </c>
      <c r="J35" s="82" t="s">
        <v>43</v>
      </c>
      <c r="K35" s="82" t="s">
        <v>88</v>
      </c>
      <c r="L35" s="82" t="s">
        <v>42</v>
      </c>
      <c r="M35" s="82" t="s">
        <v>43</v>
      </c>
      <c r="N35" s="82" t="s">
        <v>42</v>
      </c>
      <c r="O35" s="82" t="s">
        <v>42</v>
      </c>
      <c r="P35" s="82" t="s">
        <v>42</v>
      </c>
      <c r="Q35" s="86">
        <v>0</v>
      </c>
      <c r="R35" s="86">
        <v>0</v>
      </c>
      <c r="S35" s="86">
        <v>0</v>
      </c>
      <c r="T35" s="86">
        <v>0</v>
      </c>
      <c r="U35" s="88"/>
      <c r="V35" s="82" t="s">
        <v>43</v>
      </c>
      <c r="W35" s="82" t="s">
        <v>43</v>
      </c>
      <c r="X35" s="82" t="s">
        <v>43</v>
      </c>
      <c r="Y35" s="82" t="s">
        <v>41</v>
      </c>
      <c r="Z35" s="82" t="s">
        <v>42</v>
      </c>
      <c r="AA35" s="82" t="s">
        <v>43</v>
      </c>
    </row>
    <row r="36" spans="1:27" ht="33.75" x14ac:dyDescent="0.15">
      <c r="A36" s="82" t="s">
        <v>272</v>
      </c>
      <c r="B36" s="81" t="s">
        <v>273</v>
      </c>
      <c r="C36" s="81" t="s">
        <v>273</v>
      </c>
      <c r="D36" s="83">
        <v>1020</v>
      </c>
      <c r="E36" s="82" t="s">
        <v>84</v>
      </c>
      <c r="F36" s="82" t="s">
        <v>85</v>
      </c>
      <c r="G36" s="82" t="s">
        <v>86</v>
      </c>
      <c r="H36" s="82" t="s">
        <v>41</v>
      </c>
      <c r="I36" s="82" t="s">
        <v>42</v>
      </c>
      <c r="J36" s="82" t="s">
        <v>43</v>
      </c>
      <c r="K36" s="82" t="s">
        <v>93</v>
      </c>
      <c r="L36" s="82" t="s">
        <v>42</v>
      </c>
      <c r="M36" s="82" t="s">
        <v>41</v>
      </c>
      <c r="N36" s="69" t="s">
        <v>41</v>
      </c>
      <c r="O36" s="84" t="s">
        <v>42</v>
      </c>
      <c r="P36" s="84" t="s">
        <v>41</v>
      </c>
      <c r="Q36" s="86" t="s">
        <v>274</v>
      </c>
      <c r="R36" s="86">
        <v>779.51400000000001</v>
      </c>
      <c r="S36" s="86">
        <v>697.69799999999998</v>
      </c>
      <c r="T36" s="86" t="s">
        <v>275</v>
      </c>
      <c r="U36" s="72">
        <v>0.64</v>
      </c>
      <c r="V36" s="82" t="s">
        <v>43</v>
      </c>
      <c r="W36" s="82" t="s">
        <v>43</v>
      </c>
      <c r="X36" s="82" t="s">
        <v>43</v>
      </c>
      <c r="Y36" s="82" t="s">
        <v>43</v>
      </c>
      <c r="Z36" s="82" t="s">
        <v>142</v>
      </c>
      <c r="AA36" s="82" t="s">
        <v>43</v>
      </c>
    </row>
    <row r="37" spans="1:27" ht="33.75" x14ac:dyDescent="0.15">
      <c r="A37" s="82" t="s">
        <v>276</v>
      </c>
      <c r="B37" s="81" t="s">
        <v>277</v>
      </c>
      <c r="C37" s="81" t="s">
        <v>277</v>
      </c>
      <c r="D37" s="83">
        <v>2250</v>
      </c>
      <c r="E37" s="82" t="s">
        <v>145</v>
      </c>
      <c r="F37" s="82" t="s">
        <v>65</v>
      </c>
      <c r="G37" s="82" t="s">
        <v>73</v>
      </c>
      <c r="H37" s="82" t="s">
        <v>41</v>
      </c>
      <c r="I37" s="82" t="s">
        <v>42</v>
      </c>
      <c r="J37" s="82" t="s">
        <v>41</v>
      </c>
      <c r="K37" s="82" t="s">
        <v>74</v>
      </c>
      <c r="L37" s="82" t="s">
        <v>42</v>
      </c>
      <c r="M37" s="82" t="s">
        <v>41</v>
      </c>
      <c r="N37" s="82" t="s">
        <v>42</v>
      </c>
      <c r="O37" s="82" t="s">
        <v>42</v>
      </c>
      <c r="P37" s="82" t="s">
        <v>41</v>
      </c>
      <c r="Q37" s="86" t="s">
        <v>278</v>
      </c>
      <c r="R37" s="86" t="s">
        <v>279</v>
      </c>
      <c r="S37" s="86" t="s">
        <v>280</v>
      </c>
      <c r="T37" s="86" t="s">
        <v>281</v>
      </c>
      <c r="U37" s="87">
        <v>0.03</v>
      </c>
      <c r="V37" s="82" t="s">
        <v>41</v>
      </c>
      <c r="W37" s="82" t="s">
        <v>43</v>
      </c>
      <c r="X37" s="82" t="s">
        <v>43</v>
      </c>
      <c r="Y37" s="82" t="s">
        <v>43</v>
      </c>
      <c r="Z37" s="82" t="s">
        <v>150</v>
      </c>
      <c r="AA37" s="82" t="s">
        <v>43</v>
      </c>
    </row>
    <row r="38" spans="1:27" ht="22.5" x14ac:dyDescent="0.15">
      <c r="A38" s="82" t="s">
        <v>282</v>
      </c>
      <c r="B38" s="81" t="s">
        <v>283</v>
      </c>
      <c r="C38" s="81" t="s">
        <v>283</v>
      </c>
      <c r="D38" s="83">
        <v>1030</v>
      </c>
      <c r="E38" s="82" t="s">
        <v>53</v>
      </c>
      <c r="F38" s="82" t="s">
        <v>54</v>
      </c>
      <c r="G38" s="82" t="s">
        <v>55</v>
      </c>
      <c r="H38" s="82" t="s">
        <v>41</v>
      </c>
      <c r="I38" s="82" t="s">
        <v>42</v>
      </c>
      <c r="J38" s="82" t="s">
        <v>43</v>
      </c>
      <c r="K38" s="82" t="s">
        <v>93</v>
      </c>
      <c r="L38" s="82" t="s">
        <v>42</v>
      </c>
      <c r="M38" s="82" t="s">
        <v>43</v>
      </c>
      <c r="N38" s="82" t="s">
        <v>42</v>
      </c>
      <c r="O38" s="82" t="s">
        <v>42</v>
      </c>
      <c r="P38" s="82" t="s">
        <v>42</v>
      </c>
      <c r="Q38" s="86">
        <v>891.60299999999995</v>
      </c>
      <c r="R38" s="86" t="s">
        <v>284</v>
      </c>
      <c r="S38" s="86">
        <v>0</v>
      </c>
      <c r="T38" s="86" t="s">
        <v>285</v>
      </c>
      <c r="U38" s="87">
        <v>0.27</v>
      </c>
      <c r="V38" s="82" t="s">
        <v>43</v>
      </c>
      <c r="W38" s="82" t="s">
        <v>43</v>
      </c>
      <c r="X38" s="82" t="s">
        <v>43</v>
      </c>
      <c r="Y38" s="82" t="s">
        <v>43</v>
      </c>
      <c r="Z38" s="82" t="s">
        <v>42</v>
      </c>
      <c r="AA38" s="82" t="s">
        <v>43</v>
      </c>
    </row>
    <row r="39" spans="1:27" ht="33.75" x14ac:dyDescent="0.15">
      <c r="A39" s="82" t="s">
        <v>286</v>
      </c>
      <c r="B39" s="81" t="s">
        <v>287</v>
      </c>
      <c r="C39" s="81" t="s">
        <v>287</v>
      </c>
      <c r="D39" s="83">
        <v>1050</v>
      </c>
      <c r="E39" s="82" t="s">
        <v>84</v>
      </c>
      <c r="F39" s="82" t="s">
        <v>85</v>
      </c>
      <c r="G39" s="82" t="s">
        <v>86</v>
      </c>
      <c r="H39" s="82" t="s">
        <v>41</v>
      </c>
      <c r="I39" s="82" t="s">
        <v>42</v>
      </c>
      <c r="J39" s="82" t="s">
        <v>43</v>
      </c>
      <c r="K39" s="82" t="s">
        <v>56</v>
      </c>
      <c r="L39" s="82" t="s">
        <v>42</v>
      </c>
      <c r="M39" s="82" t="s">
        <v>41</v>
      </c>
      <c r="N39" s="82" t="s">
        <v>42</v>
      </c>
      <c r="O39" s="82" t="s">
        <v>42</v>
      </c>
      <c r="P39" s="82" t="s">
        <v>42</v>
      </c>
      <c r="Q39" s="86" t="s">
        <v>288</v>
      </c>
      <c r="R39" s="86" t="s">
        <v>289</v>
      </c>
      <c r="S39" s="86" t="s">
        <v>290</v>
      </c>
      <c r="T39" s="86" t="s">
        <v>291</v>
      </c>
      <c r="U39" s="87">
        <v>0.41</v>
      </c>
      <c r="V39" s="82" t="s">
        <v>43</v>
      </c>
      <c r="W39" s="82" t="s">
        <v>43</v>
      </c>
      <c r="X39" s="82" t="s">
        <v>43</v>
      </c>
      <c r="Y39" s="82" t="s">
        <v>41</v>
      </c>
      <c r="Z39" s="82" t="s">
        <v>89</v>
      </c>
      <c r="AA39" s="82" t="s">
        <v>43</v>
      </c>
    </row>
    <row r="40" spans="1:27" ht="33.75" x14ac:dyDescent="0.15">
      <c r="A40" s="82" t="s">
        <v>292</v>
      </c>
      <c r="B40" s="81" t="s">
        <v>293</v>
      </c>
      <c r="C40" s="81" t="s">
        <v>293</v>
      </c>
      <c r="D40" s="83" t="s">
        <v>294</v>
      </c>
      <c r="E40" s="82" t="s">
        <v>145</v>
      </c>
      <c r="F40" s="82" t="s">
        <v>65</v>
      </c>
      <c r="G40" s="82" t="s">
        <v>73</v>
      </c>
      <c r="H40" s="82" t="s">
        <v>41</v>
      </c>
      <c r="I40" s="82" t="s">
        <v>42</v>
      </c>
      <c r="J40" s="82" t="s">
        <v>41</v>
      </c>
      <c r="K40" s="82" t="s">
        <v>44</v>
      </c>
      <c r="L40" s="82" t="s">
        <v>45</v>
      </c>
      <c r="M40" s="82" t="s">
        <v>41</v>
      </c>
      <c r="N40" s="69" t="s">
        <v>41</v>
      </c>
      <c r="O40" s="84"/>
      <c r="P40" s="84" t="s">
        <v>42</v>
      </c>
      <c r="Q40" s="86" t="s">
        <v>295</v>
      </c>
      <c r="R40" s="86" t="s">
        <v>296</v>
      </c>
      <c r="S40" s="86" t="s">
        <v>297</v>
      </c>
      <c r="T40" s="86" t="s">
        <v>298</v>
      </c>
      <c r="U40" s="87">
        <v>0.43</v>
      </c>
      <c r="V40" s="82" t="s">
        <v>43</v>
      </c>
      <c r="W40" s="82" t="s">
        <v>41</v>
      </c>
      <c r="X40" s="82" t="s">
        <v>43</v>
      </c>
      <c r="Y40" s="82" t="s">
        <v>43</v>
      </c>
      <c r="Z40" s="82" t="s">
        <v>79</v>
      </c>
      <c r="AA40" s="82" t="s">
        <v>41</v>
      </c>
    </row>
    <row r="41" spans="1:27" ht="33.75" x14ac:dyDescent="0.15">
      <c r="A41" s="82" t="s">
        <v>299</v>
      </c>
      <c r="B41" s="81" t="s">
        <v>300</v>
      </c>
      <c r="C41" s="81" t="s">
        <v>300</v>
      </c>
      <c r="D41" s="83">
        <v>6690</v>
      </c>
      <c r="E41" s="82" t="s">
        <v>64</v>
      </c>
      <c r="F41" s="82" t="s">
        <v>65</v>
      </c>
      <c r="G41" s="82" t="s">
        <v>73</v>
      </c>
      <c r="H41" s="82" t="s">
        <v>41</v>
      </c>
      <c r="I41" s="82" t="s">
        <v>42</v>
      </c>
      <c r="J41" s="82" t="s">
        <v>41</v>
      </c>
      <c r="K41" s="82" t="s">
        <v>74</v>
      </c>
      <c r="L41" s="82" t="s">
        <v>42</v>
      </c>
      <c r="M41" s="82" t="s">
        <v>41</v>
      </c>
      <c r="N41" s="82" t="s">
        <v>42</v>
      </c>
      <c r="O41" s="82" t="s">
        <v>42</v>
      </c>
      <c r="P41" s="82" t="s">
        <v>42</v>
      </c>
      <c r="Q41" s="86" t="s">
        <v>301</v>
      </c>
      <c r="R41" s="86" t="s">
        <v>302</v>
      </c>
      <c r="S41" s="86" t="s">
        <v>303</v>
      </c>
      <c r="T41" s="86" t="s">
        <v>304</v>
      </c>
      <c r="U41" s="87">
        <v>0.21</v>
      </c>
      <c r="V41" s="82" t="s">
        <v>43</v>
      </c>
      <c r="W41" s="82" t="s">
        <v>41</v>
      </c>
      <c r="X41" s="82" t="s">
        <v>43</v>
      </c>
      <c r="Y41" s="82" t="s">
        <v>43</v>
      </c>
      <c r="Z41" s="82" t="s">
        <v>208</v>
      </c>
      <c r="AA41" s="82" t="s">
        <v>43</v>
      </c>
    </row>
    <row r="42" spans="1:27" ht="56.25" x14ac:dyDescent="0.15">
      <c r="A42" s="84" t="s">
        <v>305</v>
      </c>
      <c r="B42" s="81" t="s">
        <v>306</v>
      </c>
      <c r="C42" s="81" t="s">
        <v>82</v>
      </c>
      <c r="D42" s="83" t="s">
        <v>307</v>
      </c>
      <c r="E42" s="82" t="s">
        <v>84</v>
      </c>
      <c r="F42" s="82" t="s">
        <v>85</v>
      </c>
      <c r="G42" s="82" t="s">
        <v>86</v>
      </c>
      <c r="H42" s="82" t="s">
        <v>43</v>
      </c>
      <c r="I42" s="82" t="s">
        <v>87</v>
      </c>
      <c r="J42" s="82" t="s">
        <v>43</v>
      </c>
      <c r="K42" s="82" t="s">
        <v>56</v>
      </c>
      <c r="L42" s="82" t="s">
        <v>42</v>
      </c>
      <c r="M42" s="82" t="s">
        <v>43</v>
      </c>
      <c r="N42" s="82" t="s">
        <v>42</v>
      </c>
      <c r="O42" s="82" t="s">
        <v>42</v>
      </c>
      <c r="P42" s="82" t="s">
        <v>42</v>
      </c>
      <c r="Q42" s="86">
        <v>0</v>
      </c>
      <c r="R42" s="86">
        <v>0</v>
      </c>
      <c r="S42" s="86">
        <v>0</v>
      </c>
      <c r="T42" s="86">
        <v>0</v>
      </c>
      <c r="U42" s="88"/>
      <c r="V42" s="82" t="s">
        <v>43</v>
      </c>
      <c r="W42" s="82" t="s">
        <v>43</v>
      </c>
      <c r="X42" s="82" t="s">
        <v>43</v>
      </c>
      <c r="Y42" s="82" t="s">
        <v>41</v>
      </c>
      <c r="Z42" s="82" t="s">
        <v>89</v>
      </c>
      <c r="AA42" s="82" t="s">
        <v>43</v>
      </c>
    </row>
    <row r="43" spans="1:27" ht="33.75" x14ac:dyDescent="0.15">
      <c r="A43" s="82" t="s">
        <v>308</v>
      </c>
      <c r="B43" s="81" t="s">
        <v>309</v>
      </c>
      <c r="C43" s="81" t="s">
        <v>309</v>
      </c>
      <c r="D43" s="83">
        <v>1260</v>
      </c>
      <c r="E43" s="82" t="s">
        <v>84</v>
      </c>
      <c r="F43" s="82" t="s">
        <v>85</v>
      </c>
      <c r="G43" s="82" t="s">
        <v>86</v>
      </c>
      <c r="H43" s="82" t="s">
        <v>41</v>
      </c>
      <c r="I43" s="82" t="s">
        <v>42</v>
      </c>
      <c r="J43" s="82" t="s">
        <v>41</v>
      </c>
      <c r="K43" s="82" t="s">
        <v>56</v>
      </c>
      <c r="L43" s="82" t="s">
        <v>42</v>
      </c>
      <c r="M43" s="82" t="s">
        <v>41</v>
      </c>
      <c r="N43" s="82" t="s">
        <v>42</v>
      </c>
      <c r="O43" s="82" t="s">
        <v>42</v>
      </c>
      <c r="P43" s="82" t="s">
        <v>42</v>
      </c>
      <c r="Q43" s="86" t="s">
        <v>310</v>
      </c>
      <c r="R43" s="86" t="s">
        <v>311</v>
      </c>
      <c r="S43" s="86" t="s">
        <v>312</v>
      </c>
      <c r="T43" s="86" t="s">
        <v>313</v>
      </c>
      <c r="U43" s="87">
        <v>0.18</v>
      </c>
      <c r="V43" s="82" t="s">
        <v>43</v>
      </c>
      <c r="W43" s="82" t="s">
        <v>43</v>
      </c>
      <c r="X43" s="82" t="s">
        <v>43</v>
      </c>
      <c r="Y43" s="82" t="s">
        <v>41</v>
      </c>
      <c r="Z43" s="82" t="s">
        <v>89</v>
      </c>
      <c r="AA43" s="82" t="s">
        <v>43</v>
      </c>
    </row>
    <row r="44" spans="1:27" ht="22.5" x14ac:dyDescent="0.15">
      <c r="A44" s="82" t="s">
        <v>314</v>
      </c>
      <c r="B44" s="81" t="s">
        <v>315</v>
      </c>
      <c r="C44" s="81" t="s">
        <v>315</v>
      </c>
      <c r="D44" s="83">
        <v>5150</v>
      </c>
      <c r="E44" s="82" t="s">
        <v>215</v>
      </c>
      <c r="F44" s="82" t="s">
        <v>39</v>
      </c>
      <c r="G44" s="82" t="s">
        <v>244</v>
      </c>
      <c r="H44" s="82" t="s">
        <v>41</v>
      </c>
      <c r="I44" s="82" t="s">
        <v>42</v>
      </c>
      <c r="J44" s="82" t="s">
        <v>43</v>
      </c>
      <c r="K44" s="82" t="s">
        <v>44</v>
      </c>
      <c r="L44" s="82" t="s">
        <v>42</v>
      </c>
      <c r="M44" s="82" t="s">
        <v>43</v>
      </c>
      <c r="N44" s="82" t="s">
        <v>42</v>
      </c>
      <c r="O44" s="82" t="s">
        <v>42</v>
      </c>
      <c r="P44" s="82" t="s">
        <v>42</v>
      </c>
      <c r="Q44" s="86" t="s">
        <v>316</v>
      </c>
      <c r="R44" s="86" t="s">
        <v>317</v>
      </c>
      <c r="S44" s="86" t="s">
        <v>318</v>
      </c>
      <c r="T44" s="86" t="s">
        <v>319</v>
      </c>
      <c r="U44" s="87">
        <v>0.23</v>
      </c>
      <c r="V44" s="82" t="s">
        <v>43</v>
      </c>
      <c r="W44" s="82" t="s">
        <v>43</v>
      </c>
      <c r="X44" s="82" t="s">
        <v>43</v>
      </c>
      <c r="Y44" s="82" t="s">
        <v>43</v>
      </c>
      <c r="Z44" s="82" t="s">
        <v>42</v>
      </c>
      <c r="AA44" s="82" t="s">
        <v>43</v>
      </c>
    </row>
    <row r="45" spans="1:27" ht="33.75" x14ac:dyDescent="0.15">
      <c r="A45" s="82" t="s">
        <v>320</v>
      </c>
      <c r="B45" s="81" t="s">
        <v>321</v>
      </c>
      <c r="C45" s="81" t="s">
        <v>321</v>
      </c>
      <c r="D45" s="83">
        <v>1350</v>
      </c>
      <c r="E45" s="82" t="s">
        <v>84</v>
      </c>
      <c r="F45" s="82" t="s">
        <v>85</v>
      </c>
      <c r="G45" s="82" t="s">
        <v>86</v>
      </c>
      <c r="H45" s="82" t="s">
        <v>41</v>
      </c>
      <c r="I45" s="82" t="s">
        <v>42</v>
      </c>
      <c r="J45" s="82" t="s">
        <v>43</v>
      </c>
      <c r="K45" s="82" t="s">
        <v>56</v>
      </c>
      <c r="L45" s="82" t="s">
        <v>42</v>
      </c>
      <c r="M45" s="82" t="s">
        <v>41</v>
      </c>
      <c r="N45" s="82" t="s">
        <v>42</v>
      </c>
      <c r="O45" s="82" t="s">
        <v>42</v>
      </c>
      <c r="P45" s="82" t="s">
        <v>42</v>
      </c>
      <c r="Q45" s="86" t="s">
        <v>322</v>
      </c>
      <c r="R45" s="86" t="s">
        <v>323</v>
      </c>
      <c r="S45" s="86" t="s">
        <v>324</v>
      </c>
      <c r="T45" s="86" t="s">
        <v>325</v>
      </c>
      <c r="U45" s="87">
        <v>0.45</v>
      </c>
      <c r="V45" s="82" t="s">
        <v>43</v>
      </c>
      <c r="W45" s="82" t="s">
        <v>43</v>
      </c>
      <c r="X45" s="82" t="s">
        <v>43</v>
      </c>
      <c r="Y45" s="82" t="s">
        <v>43</v>
      </c>
      <c r="Z45" s="82" t="s">
        <v>100</v>
      </c>
      <c r="AA45" s="82" t="s">
        <v>43</v>
      </c>
    </row>
    <row r="46" spans="1:27" ht="33.75" x14ac:dyDescent="0.15">
      <c r="A46" s="82" t="s">
        <v>326</v>
      </c>
      <c r="B46" s="81" t="s">
        <v>327</v>
      </c>
      <c r="C46" s="81" t="s">
        <v>327</v>
      </c>
      <c r="D46" s="83">
        <v>4500</v>
      </c>
      <c r="E46" s="82" t="s">
        <v>64</v>
      </c>
      <c r="F46" s="82" t="s">
        <v>65</v>
      </c>
      <c r="G46" s="82" t="s">
        <v>66</v>
      </c>
      <c r="H46" s="82" t="s">
        <v>41</v>
      </c>
      <c r="I46" s="82" t="s">
        <v>42</v>
      </c>
      <c r="J46" s="82" t="s">
        <v>43</v>
      </c>
      <c r="K46" s="82" t="s">
        <v>74</v>
      </c>
      <c r="L46" s="82" t="s">
        <v>42</v>
      </c>
      <c r="M46" s="82" t="s">
        <v>41</v>
      </c>
      <c r="N46" s="82" t="s">
        <v>42</v>
      </c>
      <c r="O46" s="82" t="s">
        <v>42</v>
      </c>
      <c r="P46" s="82" t="s">
        <v>42</v>
      </c>
      <c r="Q46" s="86" t="s">
        <v>328</v>
      </c>
      <c r="R46" s="86" t="s">
        <v>329</v>
      </c>
      <c r="S46" s="86" t="s">
        <v>330</v>
      </c>
      <c r="T46" s="86" t="s">
        <v>331</v>
      </c>
      <c r="U46" s="87">
        <v>0.39</v>
      </c>
      <c r="V46" s="82" t="s">
        <v>43</v>
      </c>
      <c r="W46" s="82" t="s">
        <v>43</v>
      </c>
      <c r="X46" s="82" t="s">
        <v>43</v>
      </c>
      <c r="Y46" s="82" t="s">
        <v>43</v>
      </c>
      <c r="Z46" s="82" t="s">
        <v>42</v>
      </c>
      <c r="AA46" s="82" t="s">
        <v>43</v>
      </c>
    </row>
    <row r="47" spans="1:27" ht="33.75" x14ac:dyDescent="0.15">
      <c r="A47" s="82" t="s">
        <v>332</v>
      </c>
      <c r="B47" s="81" t="s">
        <v>333</v>
      </c>
      <c r="C47" s="81" t="s">
        <v>333</v>
      </c>
      <c r="D47" s="83">
        <v>1380</v>
      </c>
      <c r="E47" s="82" t="s">
        <v>84</v>
      </c>
      <c r="F47" s="82" t="s">
        <v>85</v>
      </c>
      <c r="G47" s="82" t="s">
        <v>86</v>
      </c>
      <c r="H47" s="82" t="s">
        <v>41</v>
      </c>
      <c r="I47" s="82" t="s">
        <v>42</v>
      </c>
      <c r="J47" s="82" t="s">
        <v>43</v>
      </c>
      <c r="K47" s="82" t="s">
        <v>56</v>
      </c>
      <c r="L47" s="82" t="s">
        <v>42</v>
      </c>
      <c r="M47" s="82" t="s">
        <v>41</v>
      </c>
      <c r="N47" s="82" t="s">
        <v>42</v>
      </c>
      <c r="O47" s="82" t="s">
        <v>42</v>
      </c>
      <c r="P47" s="82" t="s">
        <v>41</v>
      </c>
      <c r="Q47" s="86" t="s">
        <v>334</v>
      </c>
      <c r="R47" s="86" t="s">
        <v>335</v>
      </c>
      <c r="S47" s="86" t="s">
        <v>336</v>
      </c>
      <c r="T47" s="86" t="s">
        <v>337</v>
      </c>
      <c r="U47" s="87">
        <v>0.33</v>
      </c>
      <c r="V47" s="82" t="s">
        <v>43</v>
      </c>
      <c r="W47" s="82" t="s">
        <v>43</v>
      </c>
      <c r="X47" s="82" t="s">
        <v>43</v>
      </c>
      <c r="Y47" s="82" t="s">
        <v>43</v>
      </c>
      <c r="Z47" s="82" t="s">
        <v>142</v>
      </c>
      <c r="AA47" s="82" t="s">
        <v>41</v>
      </c>
    </row>
    <row r="48" spans="1:27" s="73" customFormat="1" ht="33.75" x14ac:dyDescent="0.15">
      <c r="A48" s="82" t="s">
        <v>338</v>
      </c>
      <c r="B48" s="81" t="s">
        <v>339</v>
      </c>
      <c r="C48" s="81" t="s">
        <v>339</v>
      </c>
      <c r="D48" s="83">
        <v>1390</v>
      </c>
      <c r="E48" s="82" t="s">
        <v>145</v>
      </c>
      <c r="F48" s="82" t="s">
        <v>65</v>
      </c>
      <c r="G48" s="82" t="s">
        <v>73</v>
      </c>
      <c r="H48" s="82" t="s">
        <v>41</v>
      </c>
      <c r="I48" s="82" t="s">
        <v>42</v>
      </c>
      <c r="J48" s="82" t="s">
        <v>43</v>
      </c>
      <c r="K48" s="82" t="s">
        <v>56</v>
      </c>
      <c r="L48" s="82" t="s">
        <v>42</v>
      </c>
      <c r="M48" s="82" t="s">
        <v>43</v>
      </c>
      <c r="N48" s="82" t="s">
        <v>42</v>
      </c>
      <c r="O48" s="82" t="s">
        <v>42</v>
      </c>
      <c r="P48" s="82" t="s">
        <v>42</v>
      </c>
      <c r="Q48" s="86" t="s">
        <v>340</v>
      </c>
      <c r="R48" s="86">
        <v>659.67200000000003</v>
      </c>
      <c r="S48" s="86" t="s">
        <v>341</v>
      </c>
      <c r="T48" s="86" t="s">
        <v>342</v>
      </c>
      <c r="U48" s="87">
        <v>0.49</v>
      </c>
      <c r="V48" s="82" t="s">
        <v>43</v>
      </c>
      <c r="W48" s="82" t="s">
        <v>43</v>
      </c>
      <c r="X48" s="82" t="s">
        <v>43</v>
      </c>
      <c r="Y48" s="82" t="s">
        <v>43</v>
      </c>
      <c r="Z48" s="82" t="s">
        <v>79</v>
      </c>
      <c r="AA48" s="82" t="s">
        <v>43</v>
      </c>
    </row>
    <row r="49" spans="1:27" ht="33.75" x14ac:dyDescent="0.15">
      <c r="A49" s="82" t="s">
        <v>343</v>
      </c>
      <c r="B49" s="81" t="s">
        <v>344</v>
      </c>
      <c r="C49" s="81" t="s">
        <v>344</v>
      </c>
      <c r="D49" s="83">
        <v>1420</v>
      </c>
      <c r="E49" s="82" t="s">
        <v>72</v>
      </c>
      <c r="F49" s="82" t="s">
        <v>65</v>
      </c>
      <c r="G49" s="82" t="s">
        <v>73</v>
      </c>
      <c r="H49" s="82" t="s">
        <v>41</v>
      </c>
      <c r="I49" s="82" t="s">
        <v>42</v>
      </c>
      <c r="J49" s="82" t="s">
        <v>43</v>
      </c>
      <c r="K49" s="82" t="s">
        <v>44</v>
      </c>
      <c r="L49" s="82" t="s">
        <v>203</v>
      </c>
      <c r="M49" s="82" t="s">
        <v>41</v>
      </c>
      <c r="N49" s="82" t="s">
        <v>42</v>
      </c>
      <c r="O49" s="82" t="s">
        <v>42</v>
      </c>
      <c r="P49" s="82" t="s">
        <v>42</v>
      </c>
      <c r="Q49" s="86" t="s">
        <v>345</v>
      </c>
      <c r="R49" s="86" t="s">
        <v>346</v>
      </c>
      <c r="S49" s="86" t="s">
        <v>347</v>
      </c>
      <c r="T49" s="86" t="s">
        <v>348</v>
      </c>
      <c r="U49" s="87">
        <v>0.36</v>
      </c>
      <c r="V49" s="82" t="s">
        <v>43</v>
      </c>
      <c r="W49" s="82" t="s">
        <v>41</v>
      </c>
      <c r="X49" s="82" t="s">
        <v>43</v>
      </c>
      <c r="Y49" s="82" t="s">
        <v>43</v>
      </c>
      <c r="Z49" s="82" t="s">
        <v>208</v>
      </c>
      <c r="AA49" s="82" t="s">
        <v>43</v>
      </c>
    </row>
    <row r="50" spans="1:27" ht="33.75" x14ac:dyDescent="0.15">
      <c r="A50" s="82" t="s">
        <v>349</v>
      </c>
      <c r="B50" s="81" t="s">
        <v>350</v>
      </c>
      <c r="C50" s="81" t="s">
        <v>350</v>
      </c>
      <c r="D50" s="83">
        <v>4030</v>
      </c>
      <c r="E50" s="82" t="s">
        <v>72</v>
      </c>
      <c r="F50" s="82" t="s">
        <v>65</v>
      </c>
      <c r="G50" s="82" t="s">
        <v>73</v>
      </c>
      <c r="H50" s="82" t="s">
        <v>41</v>
      </c>
      <c r="I50" s="82" t="s">
        <v>42</v>
      </c>
      <c r="J50" s="82" t="s">
        <v>41</v>
      </c>
      <c r="K50" s="82" t="s">
        <v>74</v>
      </c>
      <c r="L50" s="82" t="s">
        <v>42</v>
      </c>
      <c r="M50" s="82" t="s">
        <v>41</v>
      </c>
      <c r="N50" s="82" t="s">
        <v>42</v>
      </c>
      <c r="O50" s="82" t="s">
        <v>42</v>
      </c>
      <c r="P50" s="82" t="s">
        <v>42</v>
      </c>
      <c r="Q50" s="86">
        <v>424.12799999999999</v>
      </c>
      <c r="R50" s="86" t="s">
        <v>351</v>
      </c>
      <c r="S50" s="86" t="s">
        <v>352</v>
      </c>
      <c r="T50" s="86" t="s">
        <v>353</v>
      </c>
      <c r="U50" s="87">
        <v>0.12</v>
      </c>
      <c r="V50" s="82" t="s">
        <v>43</v>
      </c>
      <c r="W50" s="82" t="s">
        <v>43</v>
      </c>
      <c r="X50" s="82" t="s">
        <v>41</v>
      </c>
      <c r="Y50" s="82" t="s">
        <v>43</v>
      </c>
      <c r="Z50" s="82" t="s">
        <v>176</v>
      </c>
      <c r="AA50" s="82" t="s">
        <v>43</v>
      </c>
    </row>
    <row r="51" spans="1:27" ht="22.5" x14ac:dyDescent="0.15">
      <c r="A51" s="82" t="s">
        <v>354</v>
      </c>
      <c r="B51" s="81" t="s">
        <v>355</v>
      </c>
      <c r="C51" s="81" t="s">
        <v>355</v>
      </c>
      <c r="D51" s="83">
        <v>1410</v>
      </c>
      <c r="E51" s="82" t="s">
        <v>72</v>
      </c>
      <c r="F51" s="82" t="s">
        <v>65</v>
      </c>
      <c r="G51" s="82" t="s">
        <v>73</v>
      </c>
      <c r="H51" s="82" t="s">
        <v>41</v>
      </c>
      <c r="I51" s="82" t="s">
        <v>42</v>
      </c>
      <c r="J51" s="82" t="s">
        <v>41</v>
      </c>
      <c r="K51" s="82" t="s">
        <v>88</v>
      </c>
      <c r="L51" s="82" t="s">
        <v>45</v>
      </c>
      <c r="M51" s="82" t="s">
        <v>41</v>
      </c>
      <c r="N51" s="69" t="s">
        <v>41</v>
      </c>
      <c r="O51" s="84"/>
      <c r="P51" s="84" t="s">
        <v>42</v>
      </c>
      <c r="Q51" s="86" t="s">
        <v>356</v>
      </c>
      <c r="R51" s="86" t="s">
        <v>357</v>
      </c>
      <c r="S51" s="86" t="s">
        <v>358</v>
      </c>
      <c r="T51" s="86" t="s">
        <v>359</v>
      </c>
      <c r="U51" s="87">
        <v>0.37</v>
      </c>
      <c r="V51" s="82" t="s">
        <v>43</v>
      </c>
      <c r="W51" s="82" t="s">
        <v>41</v>
      </c>
      <c r="X51" s="82" t="s">
        <v>41</v>
      </c>
      <c r="Y51" s="82" t="s">
        <v>43</v>
      </c>
      <c r="Z51" s="82" t="s">
        <v>208</v>
      </c>
      <c r="AA51" s="82" t="s">
        <v>41</v>
      </c>
    </row>
    <row r="52" spans="1:27" ht="56.25" x14ac:dyDescent="0.15">
      <c r="A52" s="95" t="s">
        <v>360</v>
      </c>
      <c r="B52" s="96" t="s">
        <v>267</v>
      </c>
      <c r="C52" s="96" t="s">
        <v>267</v>
      </c>
      <c r="D52" s="97" t="s">
        <v>361</v>
      </c>
      <c r="E52" s="95" t="s">
        <v>215</v>
      </c>
      <c r="F52" s="95" t="s">
        <v>269</v>
      </c>
      <c r="G52" s="95" t="s">
        <v>362</v>
      </c>
      <c r="H52" s="95" t="s">
        <v>41</v>
      </c>
      <c r="I52" s="95" t="s">
        <v>271</v>
      </c>
      <c r="J52" s="95" t="s">
        <v>43</v>
      </c>
      <c r="K52" s="95" t="s">
        <v>56</v>
      </c>
      <c r="L52" s="95" t="s">
        <v>42</v>
      </c>
      <c r="M52" s="95" t="s">
        <v>41</v>
      </c>
      <c r="N52" s="95" t="s">
        <v>42</v>
      </c>
      <c r="O52" s="95" t="s">
        <v>42</v>
      </c>
      <c r="P52" s="95" t="s">
        <v>42</v>
      </c>
      <c r="Q52" s="98" t="s">
        <v>363</v>
      </c>
      <c r="R52" s="98" t="s">
        <v>364</v>
      </c>
      <c r="S52" s="98" t="s">
        <v>365</v>
      </c>
      <c r="T52" s="98" t="s">
        <v>366</v>
      </c>
      <c r="U52" s="99">
        <v>0.24</v>
      </c>
      <c r="V52" s="95" t="s">
        <v>43</v>
      </c>
      <c r="W52" s="95" t="s">
        <v>43</v>
      </c>
      <c r="X52" s="95" t="s">
        <v>43</v>
      </c>
      <c r="Y52" s="95" t="s">
        <v>41</v>
      </c>
      <c r="Z52" s="95" t="s">
        <v>42</v>
      </c>
      <c r="AA52" s="95" t="s">
        <v>43</v>
      </c>
    </row>
    <row r="53" spans="1:27" ht="33.75" x14ac:dyDescent="0.15">
      <c r="A53" s="82" t="s">
        <v>367</v>
      </c>
      <c r="B53" s="81" t="s">
        <v>368</v>
      </c>
      <c r="C53" s="81" t="s">
        <v>368</v>
      </c>
      <c r="D53" s="83">
        <v>1530</v>
      </c>
      <c r="E53" s="82" t="s">
        <v>145</v>
      </c>
      <c r="F53" s="82" t="s">
        <v>65</v>
      </c>
      <c r="G53" s="82" t="s">
        <v>73</v>
      </c>
      <c r="H53" s="82" t="s">
        <v>41</v>
      </c>
      <c r="I53" s="82" t="s">
        <v>42</v>
      </c>
      <c r="J53" s="82" t="s">
        <v>43</v>
      </c>
      <c r="K53" s="82" t="s">
        <v>56</v>
      </c>
      <c r="L53" s="82" t="s">
        <v>42</v>
      </c>
      <c r="M53" s="82" t="s">
        <v>41</v>
      </c>
      <c r="N53" s="82" t="s">
        <v>42</v>
      </c>
      <c r="O53" s="82" t="s">
        <v>42</v>
      </c>
      <c r="P53" s="82" t="s">
        <v>42</v>
      </c>
      <c r="Q53" s="86">
        <v>365.822</v>
      </c>
      <c r="R53" s="86">
        <v>747.05899999999997</v>
      </c>
      <c r="S53" s="86" t="s">
        <v>369</v>
      </c>
      <c r="T53" s="86" t="s">
        <v>370</v>
      </c>
      <c r="U53" s="87">
        <v>0.16</v>
      </c>
      <c r="V53" s="82" t="s">
        <v>43</v>
      </c>
      <c r="W53" s="82" t="s">
        <v>43</v>
      </c>
      <c r="X53" s="82" t="s">
        <v>43</v>
      </c>
      <c r="Y53" s="82" t="s">
        <v>43</v>
      </c>
      <c r="Z53" s="82" t="s">
        <v>79</v>
      </c>
      <c r="AA53" s="82" t="s">
        <v>43</v>
      </c>
    </row>
    <row r="54" spans="1:27" ht="22.5" x14ac:dyDescent="0.15">
      <c r="A54" s="82" t="s">
        <v>371</v>
      </c>
      <c r="B54" s="81" t="s">
        <v>372</v>
      </c>
      <c r="C54" s="81" t="s">
        <v>372</v>
      </c>
      <c r="D54" s="83">
        <v>1560</v>
      </c>
      <c r="E54" s="82" t="s">
        <v>145</v>
      </c>
      <c r="F54" s="82" t="s">
        <v>65</v>
      </c>
      <c r="G54" s="82" t="s">
        <v>73</v>
      </c>
      <c r="H54" s="82" t="s">
        <v>41</v>
      </c>
      <c r="I54" s="82" t="s">
        <v>42</v>
      </c>
      <c r="J54" s="82" t="s">
        <v>43</v>
      </c>
      <c r="K54" s="82" t="s">
        <v>44</v>
      </c>
      <c r="L54" s="82" t="s">
        <v>42</v>
      </c>
      <c r="M54" s="82" t="s">
        <v>41</v>
      </c>
      <c r="N54" s="82" t="s">
        <v>42</v>
      </c>
      <c r="O54" s="82" t="s">
        <v>42</v>
      </c>
      <c r="P54" s="82" t="s">
        <v>42</v>
      </c>
      <c r="Q54" s="86" t="s">
        <v>373</v>
      </c>
      <c r="R54" s="86" t="s">
        <v>374</v>
      </c>
      <c r="S54" s="86" t="s">
        <v>375</v>
      </c>
      <c r="T54" s="86" t="s">
        <v>376</v>
      </c>
      <c r="U54" s="87">
        <v>0.14000000000000001</v>
      </c>
      <c r="V54" s="82" t="s">
        <v>43</v>
      </c>
      <c r="W54" s="82" t="s">
        <v>41</v>
      </c>
      <c r="X54" s="82" t="s">
        <v>43</v>
      </c>
      <c r="Y54" s="82" t="s">
        <v>43</v>
      </c>
      <c r="Z54" s="82" t="s">
        <v>150</v>
      </c>
      <c r="AA54" s="82" t="s">
        <v>43</v>
      </c>
    </row>
    <row r="55" spans="1:27" ht="33.75" x14ac:dyDescent="0.15">
      <c r="A55" s="82" t="s">
        <v>377</v>
      </c>
      <c r="B55" s="81" t="s">
        <v>378</v>
      </c>
      <c r="C55" s="81" t="s">
        <v>378</v>
      </c>
      <c r="D55" s="83">
        <v>1600</v>
      </c>
      <c r="E55" s="82" t="s">
        <v>53</v>
      </c>
      <c r="F55" s="82" t="s">
        <v>39</v>
      </c>
      <c r="G55" s="82" t="s">
        <v>104</v>
      </c>
      <c r="H55" s="82" t="s">
        <v>41</v>
      </c>
      <c r="I55" s="82" t="s">
        <v>42</v>
      </c>
      <c r="J55" s="82" t="s">
        <v>43</v>
      </c>
      <c r="K55" s="82" t="s">
        <v>56</v>
      </c>
      <c r="L55" s="82" t="s">
        <v>42</v>
      </c>
      <c r="M55" s="82" t="s">
        <v>43</v>
      </c>
      <c r="N55" s="82" t="s">
        <v>42</v>
      </c>
      <c r="O55" s="82" t="s">
        <v>42</v>
      </c>
      <c r="P55" s="82" t="s">
        <v>42</v>
      </c>
      <c r="Q55" s="86">
        <v>242.328</v>
      </c>
      <c r="R55" s="86" t="s">
        <v>379</v>
      </c>
      <c r="S55" s="86" t="s">
        <v>380</v>
      </c>
      <c r="T55" s="86" t="s">
        <v>381</v>
      </c>
      <c r="U55" s="87">
        <v>7.0000000000000007E-2</v>
      </c>
      <c r="V55" s="82" t="s">
        <v>43</v>
      </c>
      <c r="W55" s="82" t="s">
        <v>43</v>
      </c>
      <c r="X55" s="82" t="s">
        <v>43</v>
      </c>
      <c r="Y55" s="82" t="s">
        <v>43</v>
      </c>
      <c r="Z55" s="82" t="s">
        <v>42</v>
      </c>
      <c r="AA55" s="82" t="s">
        <v>43</v>
      </c>
    </row>
    <row r="56" spans="1:27" ht="33.75" x14ac:dyDescent="0.15">
      <c r="A56" s="82" t="s">
        <v>382</v>
      </c>
      <c r="B56" s="81" t="s">
        <v>383</v>
      </c>
      <c r="C56" s="81" t="s">
        <v>383</v>
      </c>
      <c r="D56" s="83">
        <v>1620</v>
      </c>
      <c r="E56" s="82" t="s">
        <v>145</v>
      </c>
      <c r="F56" s="82" t="s">
        <v>65</v>
      </c>
      <c r="G56" s="82" t="s">
        <v>73</v>
      </c>
      <c r="H56" s="82" t="s">
        <v>41</v>
      </c>
      <c r="I56" s="82" t="s">
        <v>42</v>
      </c>
      <c r="J56" s="82" t="s">
        <v>41</v>
      </c>
      <c r="K56" s="82" t="s">
        <v>74</v>
      </c>
      <c r="L56" s="82" t="s">
        <v>42</v>
      </c>
      <c r="M56" s="82" t="s">
        <v>41</v>
      </c>
      <c r="N56" s="82" t="s">
        <v>42</v>
      </c>
      <c r="O56" s="82" t="s">
        <v>42</v>
      </c>
      <c r="P56" s="82" t="s">
        <v>41</v>
      </c>
      <c r="Q56" s="86" t="s">
        <v>384</v>
      </c>
      <c r="R56" s="86" t="s">
        <v>385</v>
      </c>
      <c r="S56" s="86" t="s">
        <v>386</v>
      </c>
      <c r="T56" s="86" t="s">
        <v>387</v>
      </c>
      <c r="U56" s="87">
        <v>0.04</v>
      </c>
      <c r="V56" s="82" t="s">
        <v>43</v>
      </c>
      <c r="W56" s="82" t="s">
        <v>43</v>
      </c>
      <c r="X56" s="82" t="s">
        <v>43</v>
      </c>
      <c r="Y56" s="82" t="s">
        <v>43</v>
      </c>
      <c r="Z56" s="82" t="s">
        <v>150</v>
      </c>
      <c r="AA56" s="82" t="s">
        <v>43</v>
      </c>
    </row>
    <row r="57" spans="1:27" ht="22.5" x14ac:dyDescent="0.15">
      <c r="A57" s="82" t="s">
        <v>388</v>
      </c>
      <c r="B57" s="81" t="s">
        <v>389</v>
      </c>
      <c r="C57" s="81" t="s">
        <v>389</v>
      </c>
      <c r="D57" s="83">
        <v>1650</v>
      </c>
      <c r="E57" s="82" t="s">
        <v>53</v>
      </c>
      <c r="F57" s="82" t="s">
        <v>54</v>
      </c>
      <c r="G57" s="82" t="s">
        <v>55</v>
      </c>
      <c r="H57" s="82" t="s">
        <v>41</v>
      </c>
      <c r="I57" s="82" t="s">
        <v>42</v>
      </c>
      <c r="J57" s="82" t="s">
        <v>43</v>
      </c>
      <c r="K57" s="82" t="s">
        <v>93</v>
      </c>
      <c r="L57" s="82" t="s">
        <v>42</v>
      </c>
      <c r="M57" s="82" t="s">
        <v>41</v>
      </c>
      <c r="N57" s="82" t="s">
        <v>42</v>
      </c>
      <c r="O57" s="82" t="s">
        <v>42</v>
      </c>
      <c r="P57" s="82" t="s">
        <v>42</v>
      </c>
      <c r="Q57" s="86">
        <v>372.39600000000002</v>
      </c>
      <c r="R57" s="86" t="s">
        <v>390</v>
      </c>
      <c r="S57" s="86">
        <v>513.36</v>
      </c>
      <c r="T57" s="86" t="s">
        <v>391</v>
      </c>
      <c r="U57" s="87">
        <v>0.01</v>
      </c>
      <c r="V57" s="82" t="s">
        <v>43</v>
      </c>
      <c r="W57" s="82" t="s">
        <v>43</v>
      </c>
      <c r="X57" s="82" t="s">
        <v>43</v>
      </c>
      <c r="Y57" s="82" t="s">
        <v>43</v>
      </c>
      <c r="Z57" s="82" t="s">
        <v>42</v>
      </c>
      <c r="AA57" s="82" t="s">
        <v>43</v>
      </c>
    </row>
    <row r="58" spans="1:27" ht="56.25" x14ac:dyDescent="0.15">
      <c r="A58" s="82" t="s">
        <v>392</v>
      </c>
      <c r="B58" s="81" t="s">
        <v>393</v>
      </c>
      <c r="C58" s="81" t="s">
        <v>82</v>
      </c>
      <c r="D58" s="83" t="s">
        <v>394</v>
      </c>
      <c r="E58" s="82" t="s">
        <v>84</v>
      </c>
      <c r="F58" s="82" t="s">
        <v>85</v>
      </c>
      <c r="G58" s="82" t="s">
        <v>86</v>
      </c>
      <c r="H58" s="82" t="s">
        <v>43</v>
      </c>
      <c r="I58" s="82" t="s">
        <v>87</v>
      </c>
      <c r="J58" s="82" t="s">
        <v>43</v>
      </c>
      <c r="K58" s="82" t="s">
        <v>56</v>
      </c>
      <c r="L58" s="82" t="s">
        <v>42</v>
      </c>
      <c r="M58" s="82" t="s">
        <v>43</v>
      </c>
      <c r="N58" s="82" t="s">
        <v>42</v>
      </c>
      <c r="O58" s="82" t="s">
        <v>42</v>
      </c>
      <c r="P58" s="82" t="s">
        <v>42</v>
      </c>
      <c r="Q58" s="86">
        <v>0</v>
      </c>
      <c r="R58" s="86">
        <v>0</v>
      </c>
      <c r="S58" s="86">
        <v>0</v>
      </c>
      <c r="T58" s="86">
        <v>0</v>
      </c>
      <c r="U58" s="88"/>
      <c r="V58" s="82" t="s">
        <v>43</v>
      </c>
      <c r="W58" s="82" t="s">
        <v>43</v>
      </c>
      <c r="X58" s="82" t="s">
        <v>43</v>
      </c>
      <c r="Y58" s="82" t="s">
        <v>41</v>
      </c>
      <c r="Z58" s="82" t="s">
        <v>89</v>
      </c>
      <c r="AA58" s="82" t="s">
        <v>43</v>
      </c>
    </row>
    <row r="59" spans="1:27" ht="33.75" x14ac:dyDescent="0.15">
      <c r="A59" s="82" t="s">
        <v>395</v>
      </c>
      <c r="B59" s="81" t="s">
        <v>396</v>
      </c>
      <c r="C59" s="81" t="s">
        <v>396</v>
      </c>
      <c r="D59" s="83">
        <v>1680</v>
      </c>
      <c r="E59" s="82" t="s">
        <v>84</v>
      </c>
      <c r="F59" s="82" t="s">
        <v>85</v>
      </c>
      <c r="G59" s="82" t="s">
        <v>86</v>
      </c>
      <c r="H59" s="82" t="s">
        <v>41</v>
      </c>
      <c r="I59" s="82" t="s">
        <v>42</v>
      </c>
      <c r="J59" s="82" t="s">
        <v>43</v>
      </c>
      <c r="K59" s="82" t="s">
        <v>56</v>
      </c>
      <c r="L59" s="82" t="s">
        <v>42</v>
      </c>
      <c r="M59" s="82" t="s">
        <v>41</v>
      </c>
      <c r="N59" s="82" t="s">
        <v>42</v>
      </c>
      <c r="O59" s="82" t="s">
        <v>42</v>
      </c>
      <c r="P59" s="82" t="s">
        <v>42</v>
      </c>
      <c r="Q59" s="86" t="s">
        <v>397</v>
      </c>
      <c r="R59" s="86" t="s">
        <v>398</v>
      </c>
      <c r="S59" s="86" t="s">
        <v>399</v>
      </c>
      <c r="T59" s="86" t="s">
        <v>400</v>
      </c>
      <c r="U59" s="87">
        <v>0.41</v>
      </c>
      <c r="V59" s="82" t="s">
        <v>43</v>
      </c>
      <c r="W59" s="82" t="s">
        <v>43</v>
      </c>
      <c r="X59" s="82" t="s">
        <v>43</v>
      </c>
      <c r="Y59" s="82" t="s">
        <v>43</v>
      </c>
      <c r="Z59" s="82" t="s">
        <v>142</v>
      </c>
      <c r="AA59" s="82" t="s">
        <v>41</v>
      </c>
    </row>
    <row r="60" spans="1:27" ht="33.75" x14ac:dyDescent="0.15">
      <c r="A60" s="82" t="s">
        <v>401</v>
      </c>
      <c r="B60" s="81" t="s">
        <v>402</v>
      </c>
      <c r="C60" s="81" t="s">
        <v>402</v>
      </c>
      <c r="D60" s="83">
        <v>1770</v>
      </c>
      <c r="E60" s="82" t="s">
        <v>145</v>
      </c>
      <c r="F60" s="82" t="s">
        <v>65</v>
      </c>
      <c r="G60" s="82" t="s">
        <v>73</v>
      </c>
      <c r="H60" s="82" t="s">
        <v>41</v>
      </c>
      <c r="I60" s="82" t="s">
        <v>42</v>
      </c>
      <c r="J60" s="82" t="s">
        <v>43</v>
      </c>
      <c r="K60" s="82" t="s">
        <v>74</v>
      </c>
      <c r="L60" s="82" t="s">
        <v>42</v>
      </c>
      <c r="M60" s="82" t="s">
        <v>41</v>
      </c>
      <c r="N60" s="82" t="s">
        <v>42</v>
      </c>
      <c r="O60" s="82" t="s">
        <v>42</v>
      </c>
      <c r="P60" s="82" t="s">
        <v>42</v>
      </c>
      <c r="Q60" s="86" t="s">
        <v>403</v>
      </c>
      <c r="R60" s="86" t="s">
        <v>404</v>
      </c>
      <c r="S60" s="86" t="s">
        <v>405</v>
      </c>
      <c r="T60" s="86" t="s">
        <v>406</v>
      </c>
      <c r="U60" s="87">
        <v>0.09</v>
      </c>
      <c r="V60" s="82" t="s">
        <v>41</v>
      </c>
      <c r="W60" s="82" t="s">
        <v>41</v>
      </c>
      <c r="X60" s="82" t="s">
        <v>43</v>
      </c>
      <c r="Y60" s="82" t="s">
        <v>43</v>
      </c>
      <c r="Z60" s="82" t="s">
        <v>150</v>
      </c>
      <c r="AA60" s="82" t="s">
        <v>43</v>
      </c>
    </row>
    <row r="61" spans="1:27" ht="33.75" x14ac:dyDescent="0.15">
      <c r="A61" s="82" t="s">
        <v>407</v>
      </c>
      <c r="B61" s="81" t="s">
        <v>408</v>
      </c>
      <c r="C61" s="81" t="s">
        <v>408</v>
      </c>
      <c r="D61" s="83">
        <v>6850</v>
      </c>
      <c r="E61" s="82" t="s">
        <v>145</v>
      </c>
      <c r="F61" s="82" t="s">
        <v>65</v>
      </c>
      <c r="G61" s="82" t="s">
        <v>73</v>
      </c>
      <c r="H61" s="82" t="s">
        <v>41</v>
      </c>
      <c r="I61" s="82" t="s">
        <v>42</v>
      </c>
      <c r="J61" s="82" t="s">
        <v>43</v>
      </c>
      <c r="K61" s="82" t="s">
        <v>44</v>
      </c>
      <c r="L61" s="82" t="s">
        <v>203</v>
      </c>
      <c r="M61" s="82" t="s">
        <v>43</v>
      </c>
      <c r="N61" s="82" t="s">
        <v>42</v>
      </c>
      <c r="O61" s="82" t="s">
        <v>42</v>
      </c>
      <c r="P61" s="82" t="s">
        <v>42</v>
      </c>
      <c r="Q61" s="86">
        <v>181.126</v>
      </c>
      <c r="R61" s="86" t="s">
        <v>409</v>
      </c>
      <c r="S61" s="86" t="s">
        <v>410</v>
      </c>
      <c r="T61" s="86" t="s">
        <v>411</v>
      </c>
      <c r="U61" s="87">
        <v>0.01</v>
      </c>
      <c r="V61" s="82" t="s">
        <v>43</v>
      </c>
      <c r="W61" s="82" t="s">
        <v>41</v>
      </c>
      <c r="X61" s="82" t="s">
        <v>43</v>
      </c>
      <c r="Y61" s="82" t="s">
        <v>41</v>
      </c>
      <c r="Z61" s="82" t="s">
        <v>150</v>
      </c>
      <c r="AA61" s="82" t="s">
        <v>43</v>
      </c>
    </row>
    <row r="62" spans="1:27" s="100" customFormat="1" ht="56.25" x14ac:dyDescent="0.15">
      <c r="A62" s="95" t="s">
        <v>412</v>
      </c>
      <c r="B62" s="96" t="s">
        <v>413</v>
      </c>
      <c r="C62" s="96" t="s">
        <v>413</v>
      </c>
      <c r="D62" s="97" t="s">
        <v>414</v>
      </c>
      <c r="E62" s="95" t="s">
        <v>84</v>
      </c>
      <c r="F62" s="95" t="s">
        <v>85</v>
      </c>
      <c r="G62" s="95" t="s">
        <v>86</v>
      </c>
      <c r="H62" s="95" t="s">
        <v>41</v>
      </c>
      <c r="I62" s="95" t="s">
        <v>415</v>
      </c>
      <c r="J62" s="95" t="s">
        <v>43</v>
      </c>
      <c r="K62" s="95" t="s">
        <v>93</v>
      </c>
      <c r="L62" s="95" t="s">
        <v>42</v>
      </c>
      <c r="M62" s="95" t="s">
        <v>41</v>
      </c>
      <c r="N62" s="95" t="s">
        <v>42</v>
      </c>
      <c r="O62" s="95" t="s">
        <v>42</v>
      </c>
      <c r="P62" s="95" t="s">
        <v>42</v>
      </c>
      <c r="Q62" s="98">
        <v>444.25299999999999</v>
      </c>
      <c r="R62" s="98">
        <v>848.91300000000001</v>
      </c>
      <c r="S62" s="98" t="s">
        <v>416</v>
      </c>
      <c r="T62" s="98" t="s">
        <v>417</v>
      </c>
      <c r="U62" s="99">
        <v>0.13</v>
      </c>
      <c r="V62" s="95" t="s">
        <v>43</v>
      </c>
      <c r="W62" s="95" t="s">
        <v>43</v>
      </c>
      <c r="X62" s="95" t="s">
        <v>43</v>
      </c>
      <c r="Y62" s="95" t="s">
        <v>41</v>
      </c>
      <c r="Z62" s="95" t="s">
        <v>100</v>
      </c>
      <c r="AA62" s="95" t="s">
        <v>43</v>
      </c>
    </row>
    <row r="63" spans="1:27" ht="33.75" x14ac:dyDescent="0.15">
      <c r="A63" s="82" t="s">
        <v>418</v>
      </c>
      <c r="B63" s="81" t="s">
        <v>419</v>
      </c>
      <c r="C63" s="81" t="s">
        <v>419</v>
      </c>
      <c r="D63" s="83">
        <v>1830</v>
      </c>
      <c r="E63" s="82" t="s">
        <v>84</v>
      </c>
      <c r="F63" s="82" t="s">
        <v>85</v>
      </c>
      <c r="G63" s="82" t="s">
        <v>86</v>
      </c>
      <c r="H63" s="82" t="s">
        <v>41</v>
      </c>
      <c r="I63" s="82" t="s">
        <v>42</v>
      </c>
      <c r="J63" s="82" t="s">
        <v>41</v>
      </c>
      <c r="K63" s="82" t="s">
        <v>74</v>
      </c>
      <c r="L63" s="82" t="s">
        <v>45</v>
      </c>
      <c r="M63" s="82" t="s">
        <v>41</v>
      </c>
      <c r="N63" s="69" t="s">
        <v>41</v>
      </c>
      <c r="O63" s="84"/>
      <c r="P63" s="84" t="s">
        <v>42</v>
      </c>
      <c r="Q63" s="86" t="s">
        <v>420</v>
      </c>
      <c r="R63" s="86" t="s">
        <v>421</v>
      </c>
      <c r="S63" s="86" t="s">
        <v>422</v>
      </c>
      <c r="T63" s="86" t="s">
        <v>423</v>
      </c>
      <c r="U63" s="87">
        <v>0.48</v>
      </c>
      <c r="V63" s="82" t="s">
        <v>41</v>
      </c>
      <c r="W63" s="82" t="s">
        <v>41</v>
      </c>
      <c r="X63" s="82" t="s">
        <v>43</v>
      </c>
      <c r="Y63" s="82" t="s">
        <v>41</v>
      </c>
      <c r="Z63" s="82" t="s">
        <v>89</v>
      </c>
      <c r="AA63" s="82" t="s">
        <v>41</v>
      </c>
    </row>
    <row r="64" spans="1:27" ht="33.75" x14ac:dyDescent="0.15">
      <c r="A64" s="82" t="s">
        <v>424</v>
      </c>
      <c r="B64" s="81" t="s">
        <v>425</v>
      </c>
      <c r="C64" s="81" t="s">
        <v>425</v>
      </c>
      <c r="D64" s="83">
        <v>1860</v>
      </c>
      <c r="E64" s="82" t="s">
        <v>84</v>
      </c>
      <c r="F64" s="82" t="s">
        <v>85</v>
      </c>
      <c r="G64" s="82" t="s">
        <v>86</v>
      </c>
      <c r="H64" s="82" t="s">
        <v>41</v>
      </c>
      <c r="I64" s="82" t="s">
        <v>42</v>
      </c>
      <c r="J64" s="82" t="s">
        <v>43</v>
      </c>
      <c r="K64" s="82" t="s">
        <v>74</v>
      </c>
      <c r="L64" s="82" t="s">
        <v>42</v>
      </c>
      <c r="M64" s="82" t="s">
        <v>41</v>
      </c>
      <c r="N64" s="69" t="s">
        <v>41</v>
      </c>
      <c r="O64" s="84" t="s">
        <v>42</v>
      </c>
      <c r="P64" s="84"/>
      <c r="Q64" s="86" t="s">
        <v>426</v>
      </c>
      <c r="R64" s="86" t="s">
        <v>427</v>
      </c>
      <c r="S64" s="86" t="s">
        <v>428</v>
      </c>
      <c r="T64" s="86" t="s">
        <v>429</v>
      </c>
      <c r="U64" s="72">
        <v>0.52</v>
      </c>
      <c r="V64" s="82" t="s">
        <v>43</v>
      </c>
      <c r="W64" s="82" t="s">
        <v>43</v>
      </c>
      <c r="X64" s="82" t="s">
        <v>43</v>
      </c>
      <c r="Y64" s="82" t="s">
        <v>43</v>
      </c>
      <c r="Z64" s="82" t="s">
        <v>142</v>
      </c>
      <c r="AA64" s="82" t="s">
        <v>41</v>
      </c>
    </row>
    <row r="65" spans="1:27" ht="33.75" x14ac:dyDescent="0.15">
      <c r="A65" s="82" t="s">
        <v>430</v>
      </c>
      <c r="B65" s="81" t="s">
        <v>431</v>
      </c>
      <c r="C65" s="81" t="s">
        <v>431</v>
      </c>
      <c r="D65" s="83">
        <v>2040</v>
      </c>
      <c r="E65" s="82" t="s">
        <v>38</v>
      </c>
      <c r="F65" s="82" t="s">
        <v>39</v>
      </c>
      <c r="G65" s="82" t="s">
        <v>40</v>
      </c>
      <c r="H65" s="82" t="s">
        <v>41</v>
      </c>
      <c r="I65" s="82" t="s">
        <v>42</v>
      </c>
      <c r="J65" s="82" t="s">
        <v>41</v>
      </c>
      <c r="K65" s="82" t="s">
        <v>74</v>
      </c>
      <c r="L65" s="82" t="s">
        <v>42</v>
      </c>
      <c r="M65" s="82" t="s">
        <v>41</v>
      </c>
      <c r="N65" s="82" t="s">
        <v>42</v>
      </c>
      <c r="O65" s="82" t="s">
        <v>42</v>
      </c>
      <c r="P65" s="82" t="s">
        <v>42</v>
      </c>
      <c r="Q65" s="86" t="s">
        <v>432</v>
      </c>
      <c r="R65" s="86" t="s">
        <v>433</v>
      </c>
      <c r="S65" s="86" t="s">
        <v>434</v>
      </c>
      <c r="T65" s="86" t="s">
        <v>435</v>
      </c>
      <c r="U65" s="87">
        <v>0.02</v>
      </c>
      <c r="V65" s="82" t="s">
        <v>43</v>
      </c>
      <c r="W65" s="82" t="s">
        <v>43</v>
      </c>
      <c r="X65" s="82" t="s">
        <v>43</v>
      </c>
      <c r="Y65" s="82" t="s">
        <v>43</v>
      </c>
      <c r="Z65" s="82" t="s">
        <v>42</v>
      </c>
      <c r="AA65" s="82" t="s">
        <v>43</v>
      </c>
    </row>
    <row r="66" spans="1:27" ht="33.75" x14ac:dyDescent="0.15">
      <c r="A66" s="82" t="s">
        <v>436</v>
      </c>
      <c r="B66" s="81" t="s">
        <v>437</v>
      </c>
      <c r="C66" s="81" t="s">
        <v>437</v>
      </c>
      <c r="D66" s="83">
        <v>2070</v>
      </c>
      <c r="E66" s="82" t="s">
        <v>215</v>
      </c>
      <c r="F66" s="82" t="s">
        <v>39</v>
      </c>
      <c r="G66" s="82" t="s">
        <v>216</v>
      </c>
      <c r="H66" s="82" t="s">
        <v>41</v>
      </c>
      <c r="I66" s="82" t="s">
        <v>42</v>
      </c>
      <c r="J66" s="82" t="s">
        <v>41</v>
      </c>
      <c r="K66" s="82" t="s">
        <v>56</v>
      </c>
      <c r="L66" s="82" t="s">
        <v>42</v>
      </c>
      <c r="M66" s="82" t="s">
        <v>41</v>
      </c>
      <c r="N66" s="82" t="s">
        <v>42</v>
      </c>
      <c r="O66" s="82" t="s">
        <v>42</v>
      </c>
      <c r="P66" s="82" t="s">
        <v>42</v>
      </c>
      <c r="Q66" s="86" t="s">
        <v>438</v>
      </c>
      <c r="R66" s="86" t="s">
        <v>439</v>
      </c>
      <c r="S66" s="86" t="s">
        <v>440</v>
      </c>
      <c r="T66" s="86" t="s">
        <v>441</v>
      </c>
      <c r="U66" s="87">
        <v>0.05</v>
      </c>
      <c r="V66" s="82" t="s">
        <v>43</v>
      </c>
      <c r="W66" s="82" t="s">
        <v>43</v>
      </c>
      <c r="X66" s="82" t="s">
        <v>43</v>
      </c>
      <c r="Y66" s="82" t="s">
        <v>43</v>
      </c>
      <c r="Z66" s="82" t="s">
        <v>42</v>
      </c>
      <c r="AA66" s="82" t="s">
        <v>43</v>
      </c>
    </row>
    <row r="67" spans="1:27" ht="33.75" x14ac:dyDescent="0.15">
      <c r="A67" s="82" t="s">
        <v>442</v>
      </c>
      <c r="B67" s="81" t="s">
        <v>443</v>
      </c>
      <c r="C67" s="81" t="s">
        <v>443</v>
      </c>
      <c r="D67" s="83">
        <v>2100</v>
      </c>
      <c r="E67" s="82" t="s">
        <v>64</v>
      </c>
      <c r="F67" s="82" t="s">
        <v>39</v>
      </c>
      <c r="G67" s="82" t="s">
        <v>40</v>
      </c>
      <c r="H67" s="82" t="s">
        <v>41</v>
      </c>
      <c r="I67" s="82" t="s">
        <v>42</v>
      </c>
      <c r="J67" s="82" t="s">
        <v>41</v>
      </c>
      <c r="K67" s="82" t="s">
        <v>56</v>
      </c>
      <c r="L67" s="82" t="s">
        <v>42</v>
      </c>
      <c r="M67" s="82" t="s">
        <v>41</v>
      </c>
      <c r="N67" s="82" t="s">
        <v>42</v>
      </c>
      <c r="O67" s="82" t="s">
        <v>41</v>
      </c>
      <c r="P67" s="82" t="s">
        <v>42</v>
      </c>
      <c r="Q67" s="86" t="s">
        <v>444</v>
      </c>
      <c r="R67" s="86" t="s">
        <v>445</v>
      </c>
      <c r="S67" s="86" t="s">
        <v>446</v>
      </c>
      <c r="T67" s="86" t="s">
        <v>447</v>
      </c>
      <c r="U67" s="72">
        <v>0.52</v>
      </c>
      <c r="V67" s="82" t="s">
        <v>43</v>
      </c>
      <c r="W67" s="82" t="s">
        <v>43</v>
      </c>
      <c r="X67" s="82" t="s">
        <v>43</v>
      </c>
      <c r="Y67" s="82" t="s">
        <v>43</v>
      </c>
      <c r="Z67" s="82" t="s">
        <v>42</v>
      </c>
      <c r="AA67" s="82" t="s">
        <v>43</v>
      </c>
    </row>
    <row r="68" spans="1:27" ht="33.75" x14ac:dyDescent="0.15">
      <c r="A68" s="82" t="s">
        <v>448</v>
      </c>
      <c r="B68" s="81" t="s">
        <v>449</v>
      </c>
      <c r="C68" s="81" t="s">
        <v>449</v>
      </c>
      <c r="D68" s="83">
        <v>2130</v>
      </c>
      <c r="E68" s="82" t="s">
        <v>64</v>
      </c>
      <c r="F68" s="82" t="s">
        <v>39</v>
      </c>
      <c r="G68" s="82" t="s">
        <v>104</v>
      </c>
      <c r="H68" s="82" t="s">
        <v>41</v>
      </c>
      <c r="I68" s="82" t="s">
        <v>42</v>
      </c>
      <c r="J68" s="82" t="s">
        <v>43</v>
      </c>
      <c r="K68" s="82" t="s">
        <v>56</v>
      </c>
      <c r="L68" s="82" t="s">
        <v>45</v>
      </c>
      <c r="M68" s="82" t="s">
        <v>41</v>
      </c>
      <c r="N68" s="69"/>
      <c r="O68" s="84" t="s">
        <v>41</v>
      </c>
      <c r="P68" s="84" t="s">
        <v>42</v>
      </c>
      <c r="Q68" s="86" t="s">
        <v>450</v>
      </c>
      <c r="R68" s="86" t="s">
        <v>451</v>
      </c>
      <c r="S68" s="86" t="s">
        <v>452</v>
      </c>
      <c r="T68" s="86" t="s">
        <v>453</v>
      </c>
      <c r="U68" s="87">
        <v>0.19</v>
      </c>
      <c r="V68" s="82" t="s">
        <v>43</v>
      </c>
      <c r="W68" s="82" t="s">
        <v>43</v>
      </c>
      <c r="X68" s="82" t="s">
        <v>43</v>
      </c>
      <c r="Y68" s="82" t="s">
        <v>43</v>
      </c>
      <c r="Z68" s="82" t="s">
        <v>42</v>
      </c>
      <c r="AA68" s="82" t="s">
        <v>43</v>
      </c>
    </row>
    <row r="69" spans="1:27" ht="33.75" x14ac:dyDescent="0.15">
      <c r="A69" s="82" t="s">
        <v>454</v>
      </c>
      <c r="B69" s="81" t="s">
        <v>455</v>
      </c>
      <c r="C69" s="81" t="s">
        <v>455</v>
      </c>
      <c r="D69" s="83">
        <v>2280</v>
      </c>
      <c r="E69" s="82" t="s">
        <v>84</v>
      </c>
      <c r="F69" s="82" t="s">
        <v>85</v>
      </c>
      <c r="G69" s="82" t="s">
        <v>86</v>
      </c>
      <c r="H69" s="82" t="s">
        <v>41</v>
      </c>
      <c r="I69" s="82" t="s">
        <v>42</v>
      </c>
      <c r="J69" s="82" t="s">
        <v>43</v>
      </c>
      <c r="K69" s="82" t="s">
        <v>56</v>
      </c>
      <c r="L69" s="82" t="s">
        <v>42</v>
      </c>
      <c r="M69" s="82" t="s">
        <v>41</v>
      </c>
      <c r="N69" s="82" t="s">
        <v>42</v>
      </c>
      <c r="O69" s="82" t="s">
        <v>42</v>
      </c>
      <c r="P69" s="82" t="s">
        <v>42</v>
      </c>
      <c r="Q69" s="86">
        <v>504.762</v>
      </c>
      <c r="R69" s="86" t="s">
        <v>456</v>
      </c>
      <c r="S69" s="86" t="s">
        <v>457</v>
      </c>
      <c r="T69" s="86" t="s">
        <v>458</v>
      </c>
      <c r="U69" s="87">
        <v>0.13</v>
      </c>
      <c r="V69" s="82" t="s">
        <v>43</v>
      </c>
      <c r="W69" s="82" t="s">
        <v>43</v>
      </c>
      <c r="X69" s="82" t="s">
        <v>43</v>
      </c>
      <c r="Y69" s="82" t="s">
        <v>41</v>
      </c>
      <c r="Z69" s="82" t="s">
        <v>89</v>
      </c>
      <c r="AA69" s="82" t="s">
        <v>43</v>
      </c>
    </row>
    <row r="70" spans="1:27" ht="33.75" x14ac:dyDescent="0.15">
      <c r="A70" s="82" t="s">
        <v>459</v>
      </c>
      <c r="B70" s="81" t="s">
        <v>460</v>
      </c>
      <c r="C70" s="81" t="s">
        <v>460</v>
      </c>
      <c r="D70" s="83">
        <v>2340</v>
      </c>
      <c r="E70" s="82" t="s">
        <v>64</v>
      </c>
      <c r="F70" s="82" t="s">
        <v>39</v>
      </c>
      <c r="G70" s="82" t="s">
        <v>104</v>
      </c>
      <c r="H70" s="82" t="s">
        <v>41</v>
      </c>
      <c r="I70" s="82" t="s">
        <v>42</v>
      </c>
      <c r="J70" s="82" t="s">
        <v>43</v>
      </c>
      <c r="K70" s="82" t="s">
        <v>74</v>
      </c>
      <c r="L70" s="82" t="s">
        <v>42</v>
      </c>
      <c r="M70" s="82" t="s">
        <v>41</v>
      </c>
      <c r="N70" s="69" t="s">
        <v>41</v>
      </c>
      <c r="O70" s="84" t="s">
        <v>42</v>
      </c>
      <c r="P70" s="84"/>
      <c r="Q70" s="86" t="s">
        <v>461</v>
      </c>
      <c r="R70" s="86" t="s">
        <v>462</v>
      </c>
      <c r="S70" s="86" t="s">
        <v>463</v>
      </c>
      <c r="T70" s="86" t="s">
        <v>464</v>
      </c>
      <c r="U70" s="72">
        <v>0.56999999999999995</v>
      </c>
      <c r="V70" s="82" t="s">
        <v>43</v>
      </c>
      <c r="W70" s="82" t="s">
        <v>43</v>
      </c>
      <c r="X70" s="82" t="s">
        <v>43</v>
      </c>
      <c r="Y70" s="82" t="s">
        <v>43</v>
      </c>
      <c r="Z70" s="82" t="s">
        <v>42</v>
      </c>
      <c r="AA70" s="82" t="s">
        <v>43</v>
      </c>
    </row>
    <row r="71" spans="1:27" ht="33.75" x14ac:dyDescent="0.15">
      <c r="A71" s="82" t="s">
        <v>465</v>
      </c>
      <c r="B71" s="81" t="s">
        <v>466</v>
      </c>
      <c r="C71" s="81" t="s">
        <v>466</v>
      </c>
      <c r="D71" s="83">
        <v>2390</v>
      </c>
      <c r="E71" s="82" t="s">
        <v>53</v>
      </c>
      <c r="F71" s="82" t="s">
        <v>39</v>
      </c>
      <c r="G71" s="82" t="s">
        <v>467</v>
      </c>
      <c r="H71" s="82" t="s">
        <v>41</v>
      </c>
      <c r="I71" s="82" t="s">
        <v>42</v>
      </c>
      <c r="J71" s="82" t="s">
        <v>43</v>
      </c>
      <c r="K71" s="82" t="s">
        <v>56</v>
      </c>
      <c r="L71" s="82" t="s">
        <v>42</v>
      </c>
      <c r="M71" s="82" t="s">
        <v>41</v>
      </c>
      <c r="N71" s="82" t="s">
        <v>42</v>
      </c>
      <c r="O71" s="82" t="s">
        <v>42</v>
      </c>
      <c r="P71" s="82" t="s">
        <v>42</v>
      </c>
      <c r="Q71" s="86">
        <v>110.28</v>
      </c>
      <c r="R71" s="86" t="s">
        <v>468</v>
      </c>
      <c r="S71" s="86" t="s">
        <v>469</v>
      </c>
      <c r="T71" s="86" t="s">
        <v>470</v>
      </c>
      <c r="U71" s="87">
        <v>0.03</v>
      </c>
      <c r="V71" s="82" t="s">
        <v>43</v>
      </c>
      <c r="W71" s="82" t="s">
        <v>43</v>
      </c>
      <c r="X71" s="82" t="s">
        <v>41</v>
      </c>
      <c r="Y71" s="82" t="s">
        <v>43</v>
      </c>
      <c r="Z71" s="82" t="s">
        <v>42</v>
      </c>
      <c r="AA71" s="82" t="s">
        <v>43</v>
      </c>
    </row>
    <row r="72" spans="1:27" ht="33.75" x14ac:dyDescent="0.15">
      <c r="A72" s="82" t="s">
        <v>471</v>
      </c>
      <c r="B72" s="81" t="s">
        <v>472</v>
      </c>
      <c r="C72" s="81" t="s">
        <v>472</v>
      </c>
      <c r="D72" s="83">
        <v>2400</v>
      </c>
      <c r="E72" s="82" t="s">
        <v>72</v>
      </c>
      <c r="F72" s="82" t="s">
        <v>65</v>
      </c>
      <c r="G72" s="82" t="s">
        <v>73</v>
      </c>
      <c r="H72" s="82" t="s">
        <v>41</v>
      </c>
      <c r="I72" s="82" t="s">
        <v>42</v>
      </c>
      <c r="J72" s="82" t="s">
        <v>41</v>
      </c>
      <c r="K72" s="82" t="s">
        <v>74</v>
      </c>
      <c r="L72" s="82" t="s">
        <v>42</v>
      </c>
      <c r="M72" s="82" t="s">
        <v>41</v>
      </c>
      <c r="N72" s="82" t="s">
        <v>42</v>
      </c>
      <c r="O72" s="82" t="s">
        <v>42</v>
      </c>
      <c r="P72" s="82" t="s">
        <v>42</v>
      </c>
      <c r="Q72" s="86" t="s">
        <v>473</v>
      </c>
      <c r="R72" s="86" t="s">
        <v>474</v>
      </c>
      <c r="S72" s="86" t="s">
        <v>475</v>
      </c>
      <c r="T72" s="86" t="s">
        <v>476</v>
      </c>
      <c r="U72" s="87">
        <v>0.27</v>
      </c>
      <c r="V72" s="82" t="s">
        <v>43</v>
      </c>
      <c r="W72" s="82" t="s">
        <v>43</v>
      </c>
      <c r="X72" s="82" t="s">
        <v>43</v>
      </c>
      <c r="Y72" s="82" t="s">
        <v>43</v>
      </c>
      <c r="Z72" s="82" t="s">
        <v>208</v>
      </c>
      <c r="AA72" s="82" t="s">
        <v>43</v>
      </c>
    </row>
    <row r="73" spans="1:27" ht="56.25" x14ac:dyDescent="0.15">
      <c r="A73" s="82" t="s">
        <v>477</v>
      </c>
      <c r="B73" s="81" t="s">
        <v>478</v>
      </c>
      <c r="C73" s="81" t="s">
        <v>267</v>
      </c>
      <c r="D73" s="83" t="s">
        <v>479</v>
      </c>
      <c r="E73" s="82" t="s">
        <v>215</v>
      </c>
      <c r="F73" s="82" t="s">
        <v>269</v>
      </c>
      <c r="G73" s="82" t="s">
        <v>480</v>
      </c>
      <c r="H73" s="82" t="s">
        <v>43</v>
      </c>
      <c r="I73" s="82" t="s">
        <v>271</v>
      </c>
      <c r="J73" s="82" t="s">
        <v>43</v>
      </c>
      <c r="K73" s="82" t="s">
        <v>74</v>
      </c>
      <c r="L73" s="82" t="s">
        <v>203</v>
      </c>
      <c r="M73" s="82" t="s">
        <v>43</v>
      </c>
      <c r="N73" s="82" t="s">
        <v>42</v>
      </c>
      <c r="O73" s="82" t="s">
        <v>42</v>
      </c>
      <c r="P73" s="82" t="s">
        <v>42</v>
      </c>
      <c r="Q73" s="86">
        <v>0</v>
      </c>
      <c r="R73" s="86">
        <v>0</v>
      </c>
      <c r="S73" s="86">
        <v>0</v>
      </c>
      <c r="T73" s="86">
        <v>0</v>
      </c>
      <c r="U73" s="88"/>
      <c r="V73" s="82" t="s">
        <v>43</v>
      </c>
      <c r="W73" s="82" t="s">
        <v>41</v>
      </c>
      <c r="X73" s="82" t="s">
        <v>43</v>
      </c>
      <c r="Y73" s="82" t="s">
        <v>41</v>
      </c>
      <c r="Z73" s="82" t="s">
        <v>42</v>
      </c>
      <c r="AA73" s="82" t="s">
        <v>43</v>
      </c>
    </row>
    <row r="74" spans="1:27" ht="33.75" x14ac:dyDescent="0.15">
      <c r="A74" s="82" t="s">
        <v>481</v>
      </c>
      <c r="B74" s="81" t="s">
        <v>482</v>
      </c>
      <c r="C74" s="81" t="s">
        <v>482</v>
      </c>
      <c r="D74" s="83">
        <v>8971</v>
      </c>
      <c r="E74" s="82" t="s">
        <v>53</v>
      </c>
      <c r="F74" s="82" t="s">
        <v>54</v>
      </c>
      <c r="G74" s="91" t="s">
        <v>55</v>
      </c>
      <c r="H74" s="91" t="s">
        <v>41</v>
      </c>
      <c r="I74" s="82" t="s">
        <v>42</v>
      </c>
      <c r="J74" s="82" t="s">
        <v>43</v>
      </c>
      <c r="K74" s="82" t="s">
        <v>56</v>
      </c>
      <c r="L74" s="82" t="s">
        <v>203</v>
      </c>
      <c r="M74" s="82" t="s">
        <v>43</v>
      </c>
      <c r="N74" s="82" t="s">
        <v>42</v>
      </c>
      <c r="O74" s="82" t="s">
        <v>42</v>
      </c>
      <c r="P74" s="82" t="s">
        <v>42</v>
      </c>
      <c r="Q74" s="86">
        <v>41.975000000000001</v>
      </c>
      <c r="R74" s="86" t="s">
        <v>483</v>
      </c>
      <c r="S74" s="86" t="s">
        <v>484</v>
      </c>
      <c r="T74" s="86" t="s">
        <v>485</v>
      </c>
      <c r="U74" s="87">
        <v>0.01</v>
      </c>
      <c r="V74" s="82" t="s">
        <v>43</v>
      </c>
      <c r="W74" s="91" t="s">
        <v>43</v>
      </c>
      <c r="X74" s="91" t="s">
        <v>43</v>
      </c>
      <c r="Y74" s="91" t="s">
        <v>43</v>
      </c>
      <c r="Z74" s="91" t="s">
        <v>42</v>
      </c>
      <c r="AA74" s="82" t="s">
        <v>43</v>
      </c>
    </row>
    <row r="75" spans="1:27" ht="56.25" x14ac:dyDescent="0.15">
      <c r="A75" s="82" t="s">
        <v>486</v>
      </c>
      <c r="B75" s="81" t="s">
        <v>487</v>
      </c>
      <c r="C75" s="81" t="s">
        <v>115</v>
      </c>
      <c r="D75" s="83" t="s">
        <v>488</v>
      </c>
      <c r="E75" s="82" t="s">
        <v>64</v>
      </c>
      <c r="F75" s="82" t="s">
        <v>39</v>
      </c>
      <c r="G75" s="82" t="s">
        <v>104</v>
      </c>
      <c r="H75" s="82" t="s">
        <v>43</v>
      </c>
      <c r="I75" s="82" t="s">
        <v>117</v>
      </c>
      <c r="J75" s="82" t="s">
        <v>43</v>
      </c>
      <c r="K75" s="82" t="s">
        <v>93</v>
      </c>
      <c r="L75" s="82" t="s">
        <v>42</v>
      </c>
      <c r="M75" s="82" t="s">
        <v>43</v>
      </c>
      <c r="N75" s="82" t="s">
        <v>42</v>
      </c>
      <c r="O75" s="82" t="s">
        <v>42</v>
      </c>
      <c r="P75" s="82" t="s">
        <v>42</v>
      </c>
      <c r="Q75" s="86">
        <v>0</v>
      </c>
      <c r="R75" s="86">
        <v>0</v>
      </c>
      <c r="S75" s="86">
        <v>0</v>
      </c>
      <c r="T75" s="86">
        <v>0</v>
      </c>
      <c r="U75" s="88"/>
      <c r="V75" s="82" t="s">
        <v>43</v>
      </c>
      <c r="W75" s="82" t="s">
        <v>43</v>
      </c>
      <c r="X75" s="82" t="s">
        <v>43</v>
      </c>
      <c r="Y75" s="82" t="s">
        <v>43</v>
      </c>
      <c r="Z75" s="82" t="s">
        <v>42</v>
      </c>
      <c r="AA75" s="82" t="s">
        <v>43</v>
      </c>
    </row>
    <row r="76" spans="1:27" ht="33.75" x14ac:dyDescent="0.15">
      <c r="A76" s="82" t="s">
        <v>489</v>
      </c>
      <c r="B76" s="81" t="s">
        <v>490</v>
      </c>
      <c r="C76" s="81" t="s">
        <v>490</v>
      </c>
      <c r="D76" s="83">
        <v>2460</v>
      </c>
      <c r="E76" s="82" t="s">
        <v>215</v>
      </c>
      <c r="F76" s="82" t="s">
        <v>39</v>
      </c>
      <c r="G76" s="82" t="s">
        <v>216</v>
      </c>
      <c r="H76" s="82" t="s">
        <v>41</v>
      </c>
      <c r="I76" s="82" t="s">
        <v>42</v>
      </c>
      <c r="J76" s="82" t="s">
        <v>43</v>
      </c>
      <c r="K76" s="82" t="s">
        <v>74</v>
      </c>
      <c r="L76" s="82" t="s">
        <v>42</v>
      </c>
      <c r="M76" s="82" t="s">
        <v>43</v>
      </c>
      <c r="N76" s="82" t="s">
        <v>42</v>
      </c>
      <c r="O76" s="82" t="s">
        <v>42</v>
      </c>
      <c r="P76" s="82" t="s">
        <v>42</v>
      </c>
      <c r="Q76" s="86" t="s">
        <v>491</v>
      </c>
      <c r="R76" s="86" t="s">
        <v>492</v>
      </c>
      <c r="S76" s="86" t="s">
        <v>493</v>
      </c>
      <c r="T76" s="86" t="s">
        <v>494</v>
      </c>
      <c r="U76" s="87">
        <v>0.06</v>
      </c>
      <c r="V76" s="82" t="s">
        <v>43</v>
      </c>
      <c r="W76" s="82" t="s">
        <v>41</v>
      </c>
      <c r="X76" s="82" t="s">
        <v>41</v>
      </c>
      <c r="Y76" s="82" t="s">
        <v>43</v>
      </c>
      <c r="Z76" s="82" t="s">
        <v>42</v>
      </c>
      <c r="AA76" s="82" t="s">
        <v>43</v>
      </c>
    </row>
    <row r="77" spans="1:27" ht="33.75" x14ac:dyDescent="0.15">
      <c r="A77" s="82" t="s">
        <v>495</v>
      </c>
      <c r="B77" s="81" t="s">
        <v>496</v>
      </c>
      <c r="C77" s="81" t="s">
        <v>496</v>
      </c>
      <c r="D77" s="83">
        <v>2490</v>
      </c>
      <c r="E77" s="82" t="s">
        <v>64</v>
      </c>
      <c r="F77" s="82" t="s">
        <v>39</v>
      </c>
      <c r="G77" s="82" t="s">
        <v>104</v>
      </c>
      <c r="H77" s="82" t="s">
        <v>41</v>
      </c>
      <c r="I77" s="82" t="s">
        <v>42</v>
      </c>
      <c r="J77" s="82" t="s">
        <v>43</v>
      </c>
      <c r="K77" s="82" t="s">
        <v>74</v>
      </c>
      <c r="L77" s="82" t="s">
        <v>45</v>
      </c>
      <c r="M77" s="82" t="s">
        <v>41</v>
      </c>
      <c r="N77" s="69" t="s">
        <v>41</v>
      </c>
      <c r="O77" s="84" t="s">
        <v>42</v>
      </c>
      <c r="P77" s="84"/>
      <c r="Q77" s="86" t="s">
        <v>497</v>
      </c>
      <c r="R77" s="86" t="s">
        <v>498</v>
      </c>
      <c r="S77" s="86" t="s">
        <v>499</v>
      </c>
      <c r="T77" s="86" t="s">
        <v>500</v>
      </c>
      <c r="U77" s="87">
        <v>0.27</v>
      </c>
      <c r="V77" s="82" t="s">
        <v>41</v>
      </c>
      <c r="W77" s="82" t="s">
        <v>43</v>
      </c>
      <c r="X77" s="82" t="s">
        <v>43</v>
      </c>
      <c r="Y77" s="82" t="s">
        <v>43</v>
      </c>
      <c r="Z77" s="82" t="s">
        <v>42</v>
      </c>
      <c r="AA77" s="82" t="s">
        <v>43</v>
      </c>
    </row>
    <row r="78" spans="1:27" ht="33.75" x14ac:dyDescent="0.15">
      <c r="A78" s="82" t="s">
        <v>501</v>
      </c>
      <c r="B78" s="81" t="s">
        <v>502</v>
      </c>
      <c r="C78" s="81" t="s">
        <v>502</v>
      </c>
      <c r="D78" s="83">
        <v>2520</v>
      </c>
      <c r="E78" s="82" t="s">
        <v>72</v>
      </c>
      <c r="F78" s="82" t="s">
        <v>65</v>
      </c>
      <c r="G78" s="82" t="s">
        <v>73</v>
      </c>
      <c r="H78" s="82" t="s">
        <v>41</v>
      </c>
      <c r="I78" s="82" t="s">
        <v>42</v>
      </c>
      <c r="J78" s="82" t="s">
        <v>41</v>
      </c>
      <c r="K78" s="82" t="s">
        <v>74</v>
      </c>
      <c r="L78" s="82" t="s">
        <v>42</v>
      </c>
      <c r="M78" s="82" t="s">
        <v>41</v>
      </c>
      <c r="N78" s="82" t="s">
        <v>42</v>
      </c>
      <c r="O78" s="82" t="s">
        <v>42</v>
      </c>
      <c r="P78" s="82" t="s">
        <v>42</v>
      </c>
      <c r="Q78" s="86" t="s">
        <v>503</v>
      </c>
      <c r="R78" s="86" t="s">
        <v>504</v>
      </c>
      <c r="S78" s="86" t="s">
        <v>505</v>
      </c>
      <c r="T78" s="86" t="s">
        <v>506</v>
      </c>
      <c r="U78" s="87">
        <v>0.23</v>
      </c>
      <c r="V78" s="82" t="s">
        <v>43</v>
      </c>
      <c r="W78" s="82" t="s">
        <v>41</v>
      </c>
      <c r="X78" s="82" t="s">
        <v>41</v>
      </c>
      <c r="Y78" s="82" t="s">
        <v>43</v>
      </c>
      <c r="Z78" s="82" t="s">
        <v>176</v>
      </c>
      <c r="AA78" s="82" t="s">
        <v>43</v>
      </c>
    </row>
    <row r="79" spans="1:27" ht="22.5" x14ac:dyDescent="0.15">
      <c r="A79" s="82" t="s">
        <v>507</v>
      </c>
      <c r="B79" s="81" t="s">
        <v>508</v>
      </c>
      <c r="C79" s="81" t="s">
        <v>508</v>
      </c>
      <c r="D79" s="83">
        <v>2550</v>
      </c>
      <c r="E79" s="82" t="s">
        <v>145</v>
      </c>
      <c r="F79" s="82" t="s">
        <v>65</v>
      </c>
      <c r="G79" s="82" t="s">
        <v>73</v>
      </c>
      <c r="H79" s="82" t="s">
        <v>41</v>
      </c>
      <c r="I79" s="82" t="s">
        <v>42</v>
      </c>
      <c r="J79" s="82" t="s">
        <v>43</v>
      </c>
      <c r="K79" s="82" t="s">
        <v>44</v>
      </c>
      <c r="L79" s="82" t="s">
        <v>42</v>
      </c>
      <c r="M79" s="82" t="s">
        <v>41</v>
      </c>
      <c r="N79" s="82" t="s">
        <v>42</v>
      </c>
      <c r="O79" s="82" t="s">
        <v>42</v>
      </c>
      <c r="P79" s="82" t="s">
        <v>42</v>
      </c>
      <c r="Q79" s="86">
        <v>620.82299999999998</v>
      </c>
      <c r="R79" s="86" t="s">
        <v>509</v>
      </c>
      <c r="S79" s="86" t="s">
        <v>510</v>
      </c>
      <c r="T79" s="86" t="s">
        <v>511</v>
      </c>
      <c r="U79" s="87">
        <v>0.06</v>
      </c>
      <c r="V79" s="82" t="s">
        <v>43</v>
      </c>
      <c r="W79" s="82" t="s">
        <v>41</v>
      </c>
      <c r="X79" s="82" t="s">
        <v>43</v>
      </c>
      <c r="Y79" s="82" t="s">
        <v>43</v>
      </c>
      <c r="Z79" s="82" t="s">
        <v>150</v>
      </c>
      <c r="AA79" s="82" t="s">
        <v>43</v>
      </c>
    </row>
    <row r="80" spans="1:27" ht="33.75" x14ac:dyDescent="0.15">
      <c r="A80" s="82" t="s">
        <v>512</v>
      </c>
      <c r="B80" s="81" t="s">
        <v>513</v>
      </c>
      <c r="C80" s="81" t="s">
        <v>513</v>
      </c>
      <c r="D80" s="83">
        <v>2580</v>
      </c>
      <c r="E80" s="82" t="s">
        <v>64</v>
      </c>
      <c r="F80" s="82" t="s">
        <v>65</v>
      </c>
      <c r="G80" s="82" t="s">
        <v>66</v>
      </c>
      <c r="H80" s="82" t="s">
        <v>41</v>
      </c>
      <c r="I80" s="82" t="s">
        <v>42</v>
      </c>
      <c r="J80" s="82" t="s">
        <v>43</v>
      </c>
      <c r="K80" s="82" t="s">
        <v>56</v>
      </c>
      <c r="L80" s="82" t="s">
        <v>203</v>
      </c>
      <c r="M80" s="82" t="s">
        <v>41</v>
      </c>
      <c r="N80" s="82" t="s">
        <v>42</v>
      </c>
      <c r="O80" s="82" t="s">
        <v>42</v>
      </c>
      <c r="P80" s="82" t="s">
        <v>42</v>
      </c>
      <c r="Q80" s="86" t="s">
        <v>514</v>
      </c>
      <c r="R80" s="86" t="s">
        <v>515</v>
      </c>
      <c r="S80" s="86" t="s">
        <v>516</v>
      </c>
      <c r="T80" s="86" t="s">
        <v>517</v>
      </c>
      <c r="U80" s="72">
        <v>0.54</v>
      </c>
      <c r="V80" s="82" t="s">
        <v>43</v>
      </c>
      <c r="W80" s="82" t="s">
        <v>43</v>
      </c>
      <c r="X80" s="82" t="s">
        <v>43</v>
      </c>
      <c r="Y80" s="82" t="s">
        <v>43</v>
      </c>
      <c r="Z80" s="82" t="s">
        <v>42</v>
      </c>
      <c r="AA80" s="82" t="s">
        <v>43</v>
      </c>
    </row>
    <row r="81" spans="1:27" ht="22.5" x14ac:dyDescent="0.15">
      <c r="A81" s="82" t="s">
        <v>518</v>
      </c>
      <c r="B81" s="81" t="s">
        <v>519</v>
      </c>
      <c r="C81" s="81" t="s">
        <v>519</v>
      </c>
      <c r="D81" s="83">
        <v>2670</v>
      </c>
      <c r="E81" s="82" t="s">
        <v>72</v>
      </c>
      <c r="F81" s="82" t="s">
        <v>65</v>
      </c>
      <c r="G81" s="82" t="s">
        <v>73</v>
      </c>
      <c r="H81" s="82" t="s">
        <v>41</v>
      </c>
      <c r="I81" s="82" t="s">
        <v>42</v>
      </c>
      <c r="J81" s="82" t="s">
        <v>43</v>
      </c>
      <c r="K81" s="82" t="s">
        <v>44</v>
      </c>
      <c r="L81" s="82" t="s">
        <v>42</v>
      </c>
      <c r="M81" s="82" t="s">
        <v>41</v>
      </c>
      <c r="N81" s="69" t="s">
        <v>41</v>
      </c>
      <c r="O81" s="84"/>
      <c r="P81" s="84" t="s">
        <v>42</v>
      </c>
      <c r="Q81" s="86" t="s">
        <v>520</v>
      </c>
      <c r="R81" s="86" t="s">
        <v>521</v>
      </c>
      <c r="S81" s="86" t="s">
        <v>522</v>
      </c>
      <c r="T81" s="86" t="s">
        <v>523</v>
      </c>
      <c r="U81" s="87">
        <v>0.15</v>
      </c>
      <c r="V81" s="82" t="s">
        <v>43</v>
      </c>
      <c r="W81" s="82" t="s">
        <v>41</v>
      </c>
      <c r="X81" s="82" t="s">
        <v>43</v>
      </c>
      <c r="Y81" s="82" t="s">
        <v>43</v>
      </c>
      <c r="Z81" s="82" t="s">
        <v>208</v>
      </c>
      <c r="AA81" s="82" t="s">
        <v>43</v>
      </c>
    </row>
    <row r="82" spans="1:27" s="73" customFormat="1" ht="22.5" x14ac:dyDescent="0.15">
      <c r="A82" s="82" t="s">
        <v>524</v>
      </c>
      <c r="B82" s="81" t="s">
        <v>525</v>
      </c>
      <c r="C82" s="81" t="s">
        <v>525</v>
      </c>
      <c r="D82" s="83">
        <v>2690</v>
      </c>
      <c r="E82" s="82" t="s">
        <v>72</v>
      </c>
      <c r="F82" s="82" t="s">
        <v>65</v>
      </c>
      <c r="G82" s="82" t="s">
        <v>73</v>
      </c>
      <c r="H82" s="82" t="s">
        <v>41</v>
      </c>
      <c r="I82" s="82" t="s">
        <v>42</v>
      </c>
      <c r="J82" s="82" t="s">
        <v>41</v>
      </c>
      <c r="K82" s="82" t="s">
        <v>44</v>
      </c>
      <c r="L82" s="82" t="s">
        <v>42</v>
      </c>
      <c r="M82" s="82" t="s">
        <v>41</v>
      </c>
      <c r="N82" s="82" t="s">
        <v>42</v>
      </c>
      <c r="O82" s="82" t="s">
        <v>42</v>
      </c>
      <c r="P82" s="82" t="s">
        <v>42</v>
      </c>
      <c r="Q82" s="86" t="s">
        <v>526</v>
      </c>
      <c r="R82" s="86" t="s">
        <v>527</v>
      </c>
      <c r="S82" s="86" t="s">
        <v>528</v>
      </c>
      <c r="T82" s="86" t="s">
        <v>529</v>
      </c>
      <c r="U82" s="87">
        <v>0.15</v>
      </c>
      <c r="V82" s="82" t="s">
        <v>43</v>
      </c>
      <c r="W82" s="82" t="s">
        <v>41</v>
      </c>
      <c r="X82" s="82" t="s">
        <v>41</v>
      </c>
      <c r="Y82" s="82" t="s">
        <v>43</v>
      </c>
      <c r="Z82" s="82" t="s">
        <v>208</v>
      </c>
      <c r="AA82" s="82" t="s">
        <v>43</v>
      </c>
    </row>
    <row r="83" spans="1:27" ht="33.75" x14ac:dyDescent="0.15">
      <c r="A83" s="82" t="s">
        <v>530</v>
      </c>
      <c r="B83" s="81" t="s">
        <v>531</v>
      </c>
      <c r="C83" s="81" t="s">
        <v>531</v>
      </c>
      <c r="D83" s="83">
        <v>2700</v>
      </c>
      <c r="E83" s="82" t="s">
        <v>215</v>
      </c>
      <c r="F83" s="82" t="s">
        <v>39</v>
      </c>
      <c r="G83" s="82" t="s">
        <v>216</v>
      </c>
      <c r="H83" s="82" t="s">
        <v>41</v>
      </c>
      <c r="I83" s="82" t="s">
        <v>42</v>
      </c>
      <c r="J83" s="82" t="s">
        <v>43</v>
      </c>
      <c r="K83" s="82" t="s">
        <v>56</v>
      </c>
      <c r="L83" s="82" t="s">
        <v>42</v>
      </c>
      <c r="M83" s="82" t="s">
        <v>43</v>
      </c>
      <c r="N83" s="82" t="s">
        <v>42</v>
      </c>
      <c r="O83" s="82" t="s">
        <v>42</v>
      </c>
      <c r="P83" s="82" t="s">
        <v>42</v>
      </c>
      <c r="Q83" s="86">
        <v>-775</v>
      </c>
      <c r="R83" s="86" t="s">
        <v>532</v>
      </c>
      <c r="S83" s="86">
        <v>974.16899999999998</v>
      </c>
      <c r="T83" s="86" t="s">
        <v>533</v>
      </c>
      <c r="U83" s="87">
        <v>0</v>
      </c>
      <c r="V83" s="82" t="s">
        <v>43</v>
      </c>
      <c r="W83" s="82" t="s">
        <v>43</v>
      </c>
      <c r="X83" s="82" t="s">
        <v>43</v>
      </c>
      <c r="Y83" s="82" t="s">
        <v>43</v>
      </c>
      <c r="Z83" s="82" t="s">
        <v>42</v>
      </c>
      <c r="AA83" s="82" t="s">
        <v>43</v>
      </c>
    </row>
    <row r="84" spans="1:27" ht="33.75" x14ac:dyDescent="0.15">
      <c r="A84" s="82" t="s">
        <v>534</v>
      </c>
      <c r="B84" s="81" t="s">
        <v>535</v>
      </c>
      <c r="C84" s="81" t="s">
        <v>535</v>
      </c>
      <c r="D84" s="83">
        <v>2740</v>
      </c>
      <c r="E84" s="82" t="s">
        <v>38</v>
      </c>
      <c r="F84" s="82" t="s">
        <v>39</v>
      </c>
      <c r="G84" s="82" t="s">
        <v>40</v>
      </c>
      <c r="H84" s="82" t="s">
        <v>41</v>
      </c>
      <c r="I84" s="82" t="s">
        <v>42</v>
      </c>
      <c r="J84" s="82" t="s">
        <v>43</v>
      </c>
      <c r="K84" s="82" t="s">
        <v>56</v>
      </c>
      <c r="L84" s="82" t="s">
        <v>42</v>
      </c>
      <c r="M84" s="82" t="s">
        <v>43</v>
      </c>
      <c r="N84" s="82" t="s">
        <v>42</v>
      </c>
      <c r="O84" s="82" t="s">
        <v>42</v>
      </c>
      <c r="P84" s="82" t="s">
        <v>42</v>
      </c>
      <c r="Q84" s="86">
        <v>447.55200000000002</v>
      </c>
      <c r="R84" s="86" t="s">
        <v>536</v>
      </c>
      <c r="S84" s="86" t="s">
        <v>537</v>
      </c>
      <c r="T84" s="86" t="s">
        <v>538</v>
      </c>
      <c r="U84" s="87">
        <v>0.11</v>
      </c>
      <c r="V84" s="82" t="s">
        <v>43</v>
      </c>
      <c r="W84" s="82" t="s">
        <v>43</v>
      </c>
      <c r="X84" s="82" t="s">
        <v>43</v>
      </c>
      <c r="Y84" s="82" t="s">
        <v>41</v>
      </c>
      <c r="Z84" s="82" t="s">
        <v>42</v>
      </c>
      <c r="AA84" s="82" t="s">
        <v>43</v>
      </c>
    </row>
    <row r="85" spans="1:27" ht="22.5" x14ac:dyDescent="0.15">
      <c r="A85" s="82" t="s">
        <v>539</v>
      </c>
      <c r="B85" s="81" t="s">
        <v>540</v>
      </c>
      <c r="C85" s="81" t="s">
        <v>540</v>
      </c>
      <c r="D85" s="83">
        <v>2760</v>
      </c>
      <c r="E85" s="82" t="s">
        <v>145</v>
      </c>
      <c r="F85" s="82" t="s">
        <v>65</v>
      </c>
      <c r="G85" s="82" t="s">
        <v>73</v>
      </c>
      <c r="H85" s="82" t="s">
        <v>41</v>
      </c>
      <c r="I85" s="82" t="s">
        <v>42</v>
      </c>
      <c r="J85" s="82" t="s">
        <v>43</v>
      </c>
      <c r="K85" s="82" t="s">
        <v>44</v>
      </c>
      <c r="L85" s="82" t="s">
        <v>45</v>
      </c>
      <c r="M85" s="82" t="s">
        <v>41</v>
      </c>
      <c r="N85" s="69" t="s">
        <v>41</v>
      </c>
      <c r="O85" s="84"/>
      <c r="P85" s="84" t="s">
        <v>42</v>
      </c>
      <c r="Q85" s="86" t="s">
        <v>541</v>
      </c>
      <c r="R85" s="86" t="s">
        <v>542</v>
      </c>
      <c r="S85" s="86" t="s">
        <v>543</v>
      </c>
      <c r="T85" s="86" t="s">
        <v>544</v>
      </c>
      <c r="U85" s="87">
        <v>0.19</v>
      </c>
      <c r="V85" s="82" t="s">
        <v>41</v>
      </c>
      <c r="W85" s="82" t="s">
        <v>41</v>
      </c>
      <c r="X85" s="82" t="s">
        <v>41</v>
      </c>
      <c r="Y85" s="82" t="s">
        <v>43</v>
      </c>
      <c r="Z85" s="82" t="s">
        <v>150</v>
      </c>
      <c r="AA85" s="82" t="s">
        <v>41</v>
      </c>
    </row>
    <row r="86" spans="1:27" ht="56.25" x14ac:dyDescent="0.15">
      <c r="A86" s="82" t="s">
        <v>545</v>
      </c>
      <c r="B86" s="81" t="s">
        <v>546</v>
      </c>
      <c r="C86" s="81" t="s">
        <v>267</v>
      </c>
      <c r="D86" s="83" t="s">
        <v>547</v>
      </c>
      <c r="E86" s="82" t="s">
        <v>215</v>
      </c>
      <c r="F86" s="82" t="s">
        <v>269</v>
      </c>
      <c r="G86" s="82" t="s">
        <v>480</v>
      </c>
      <c r="H86" s="82" t="s">
        <v>43</v>
      </c>
      <c r="I86" s="82" t="s">
        <v>271</v>
      </c>
      <c r="J86" s="82" t="s">
        <v>43</v>
      </c>
      <c r="K86" s="82" t="s">
        <v>56</v>
      </c>
      <c r="L86" s="82" t="s">
        <v>203</v>
      </c>
      <c r="M86" s="82" t="s">
        <v>43</v>
      </c>
      <c r="N86" s="82" t="s">
        <v>42</v>
      </c>
      <c r="O86" s="82" t="s">
        <v>42</v>
      </c>
      <c r="P86" s="82" t="s">
        <v>42</v>
      </c>
      <c r="Q86" s="86">
        <v>0</v>
      </c>
      <c r="R86" s="86">
        <v>0</v>
      </c>
      <c r="S86" s="86">
        <v>0</v>
      </c>
      <c r="T86" s="86">
        <v>0</v>
      </c>
      <c r="U86" s="88"/>
      <c r="V86" s="82" t="s">
        <v>43</v>
      </c>
      <c r="W86" s="82" t="s">
        <v>43</v>
      </c>
      <c r="X86" s="82" t="s">
        <v>43</v>
      </c>
      <c r="Y86" s="82" t="s">
        <v>41</v>
      </c>
      <c r="Z86" s="82" t="s">
        <v>42</v>
      </c>
      <c r="AA86" s="82" t="s">
        <v>43</v>
      </c>
    </row>
    <row r="87" spans="1:27" ht="33.75" x14ac:dyDescent="0.15">
      <c r="A87" s="82" t="s">
        <v>548</v>
      </c>
      <c r="B87" s="81" t="s">
        <v>549</v>
      </c>
      <c r="C87" s="81" t="s">
        <v>549</v>
      </c>
      <c r="D87" s="83">
        <v>2820</v>
      </c>
      <c r="E87" s="82" t="s">
        <v>145</v>
      </c>
      <c r="F87" s="82" t="s">
        <v>65</v>
      </c>
      <c r="G87" s="82" t="s">
        <v>73</v>
      </c>
      <c r="H87" s="82" t="s">
        <v>41</v>
      </c>
      <c r="I87" s="82" t="s">
        <v>42</v>
      </c>
      <c r="J87" s="82" t="s">
        <v>43</v>
      </c>
      <c r="K87" s="82" t="s">
        <v>74</v>
      </c>
      <c r="L87" s="82" t="s">
        <v>42</v>
      </c>
      <c r="M87" s="82" t="s">
        <v>41</v>
      </c>
      <c r="N87" s="82" t="s">
        <v>42</v>
      </c>
      <c r="O87" s="82" t="s">
        <v>42</v>
      </c>
      <c r="P87" s="82" t="s">
        <v>42</v>
      </c>
      <c r="Q87" s="86" t="s">
        <v>550</v>
      </c>
      <c r="R87" s="86" t="s">
        <v>551</v>
      </c>
      <c r="S87" s="86" t="s">
        <v>552</v>
      </c>
      <c r="T87" s="86" t="s">
        <v>553</v>
      </c>
      <c r="U87" s="87">
        <v>0.09</v>
      </c>
      <c r="V87" s="82" t="s">
        <v>43</v>
      </c>
      <c r="W87" s="82" t="s">
        <v>41</v>
      </c>
      <c r="X87" s="82" t="s">
        <v>43</v>
      </c>
      <c r="Y87" s="82" t="s">
        <v>43</v>
      </c>
      <c r="Z87" s="82" t="s">
        <v>150</v>
      </c>
      <c r="AA87" s="82" t="s">
        <v>43</v>
      </c>
    </row>
    <row r="88" spans="1:27" ht="33.75" x14ac:dyDescent="0.15">
      <c r="A88" s="82" t="s">
        <v>554</v>
      </c>
      <c r="B88" s="81" t="s">
        <v>555</v>
      </c>
      <c r="C88" s="81" t="s">
        <v>555</v>
      </c>
      <c r="D88" s="83">
        <v>2850</v>
      </c>
      <c r="E88" s="82" t="s">
        <v>84</v>
      </c>
      <c r="F88" s="82" t="s">
        <v>85</v>
      </c>
      <c r="G88" s="82" t="s">
        <v>86</v>
      </c>
      <c r="H88" s="82" t="s">
        <v>41</v>
      </c>
      <c r="I88" s="82" t="s">
        <v>42</v>
      </c>
      <c r="J88" s="82" t="s">
        <v>43</v>
      </c>
      <c r="K88" s="82" t="s">
        <v>56</v>
      </c>
      <c r="L88" s="82" t="s">
        <v>42</v>
      </c>
      <c r="M88" s="82" t="s">
        <v>41</v>
      </c>
      <c r="N88" s="82" t="s">
        <v>42</v>
      </c>
      <c r="O88" s="82" t="s">
        <v>42</v>
      </c>
      <c r="P88" s="82" t="s">
        <v>42</v>
      </c>
      <c r="Q88" s="86" t="s">
        <v>556</v>
      </c>
      <c r="R88" s="86" t="s">
        <v>557</v>
      </c>
      <c r="S88" s="86" t="s">
        <v>558</v>
      </c>
      <c r="T88" s="86" t="s">
        <v>559</v>
      </c>
      <c r="U88" s="87">
        <v>0.45</v>
      </c>
      <c r="V88" s="82" t="s">
        <v>43</v>
      </c>
      <c r="W88" s="82" t="s">
        <v>43</v>
      </c>
      <c r="X88" s="82" t="s">
        <v>43</v>
      </c>
      <c r="Y88" s="82" t="s">
        <v>43</v>
      </c>
      <c r="Z88" s="82" t="s">
        <v>142</v>
      </c>
      <c r="AA88" s="82" t="s">
        <v>43</v>
      </c>
    </row>
    <row r="89" spans="1:27" ht="56.25" x14ac:dyDescent="0.15">
      <c r="A89" s="82" t="s">
        <v>560</v>
      </c>
      <c r="B89" s="81" t="s">
        <v>480</v>
      </c>
      <c r="C89" s="81" t="s">
        <v>267</v>
      </c>
      <c r="D89" s="83" t="s">
        <v>561</v>
      </c>
      <c r="E89" s="82" t="s">
        <v>215</v>
      </c>
      <c r="F89" s="82" t="s">
        <v>269</v>
      </c>
      <c r="G89" s="82" t="s">
        <v>480</v>
      </c>
      <c r="H89" s="82" t="s">
        <v>43</v>
      </c>
      <c r="I89" s="82" t="s">
        <v>271</v>
      </c>
      <c r="J89" s="82" t="s">
        <v>43</v>
      </c>
      <c r="K89" s="82" t="s">
        <v>74</v>
      </c>
      <c r="L89" s="82" t="s">
        <v>203</v>
      </c>
      <c r="M89" s="82" t="s">
        <v>43</v>
      </c>
      <c r="N89" s="82" t="s">
        <v>42</v>
      </c>
      <c r="O89" s="82" t="s">
        <v>42</v>
      </c>
      <c r="P89" s="82" t="s">
        <v>42</v>
      </c>
      <c r="Q89" s="86">
        <v>0</v>
      </c>
      <c r="R89" s="86">
        <v>0</v>
      </c>
      <c r="S89" s="86">
        <v>0</v>
      </c>
      <c r="T89" s="86">
        <v>0</v>
      </c>
      <c r="U89" s="88"/>
      <c r="V89" s="82" t="s">
        <v>43</v>
      </c>
      <c r="W89" s="82" t="s">
        <v>43</v>
      </c>
      <c r="X89" s="82" t="s">
        <v>43</v>
      </c>
      <c r="Y89" s="82" t="s">
        <v>41</v>
      </c>
      <c r="Z89" s="82" t="s">
        <v>42</v>
      </c>
      <c r="AA89" s="82" t="s">
        <v>43</v>
      </c>
    </row>
    <row r="90" spans="1:27" ht="33.75" x14ac:dyDescent="0.15">
      <c r="A90" s="82" t="s">
        <v>562</v>
      </c>
      <c r="B90" s="81" t="s">
        <v>563</v>
      </c>
      <c r="C90" s="81" t="s">
        <v>563</v>
      </c>
      <c r="D90" s="83">
        <v>5640</v>
      </c>
      <c r="E90" s="82" t="s">
        <v>53</v>
      </c>
      <c r="F90" s="82" t="s">
        <v>54</v>
      </c>
      <c r="G90" s="82" t="s">
        <v>132</v>
      </c>
      <c r="H90" s="82" t="s">
        <v>41</v>
      </c>
      <c r="I90" s="82" t="s">
        <v>42</v>
      </c>
      <c r="J90" s="82" t="s">
        <v>43</v>
      </c>
      <c r="K90" s="82" t="s">
        <v>56</v>
      </c>
      <c r="L90" s="82" t="s">
        <v>42</v>
      </c>
      <c r="M90" s="82" t="s">
        <v>41</v>
      </c>
      <c r="N90" s="69" t="s">
        <v>41</v>
      </c>
      <c r="O90" s="84" t="s">
        <v>42</v>
      </c>
      <c r="P90" s="84"/>
      <c r="Q90" s="86" t="s">
        <v>564</v>
      </c>
      <c r="R90" s="86" t="s">
        <v>565</v>
      </c>
      <c r="S90" s="86" t="s">
        <v>566</v>
      </c>
      <c r="T90" s="86" t="s">
        <v>567</v>
      </c>
      <c r="U90" s="72">
        <v>0.64</v>
      </c>
      <c r="V90" s="82" t="s">
        <v>43</v>
      </c>
      <c r="W90" s="82" t="s">
        <v>43</v>
      </c>
      <c r="X90" s="82" t="s">
        <v>41</v>
      </c>
      <c r="Y90" s="82" t="s">
        <v>43</v>
      </c>
      <c r="Z90" s="82" t="s">
        <v>42</v>
      </c>
      <c r="AA90" s="82" t="s">
        <v>43</v>
      </c>
    </row>
    <row r="91" spans="1:27" ht="33.75" x14ac:dyDescent="0.15">
      <c r="A91" s="82" t="s">
        <v>568</v>
      </c>
      <c r="B91" s="81" t="s">
        <v>569</v>
      </c>
      <c r="C91" s="81" t="s">
        <v>569</v>
      </c>
      <c r="D91" s="83">
        <v>2880</v>
      </c>
      <c r="E91" s="82" t="s">
        <v>215</v>
      </c>
      <c r="F91" s="82" t="s">
        <v>39</v>
      </c>
      <c r="G91" s="82" t="s">
        <v>244</v>
      </c>
      <c r="H91" s="82" t="s">
        <v>41</v>
      </c>
      <c r="I91" s="82" t="s">
        <v>42</v>
      </c>
      <c r="J91" s="82" t="s">
        <v>43</v>
      </c>
      <c r="K91" s="82" t="s">
        <v>56</v>
      </c>
      <c r="L91" s="82" t="s">
        <v>42</v>
      </c>
      <c r="M91" s="82" t="s">
        <v>41</v>
      </c>
      <c r="N91" s="82" t="s">
        <v>42</v>
      </c>
      <c r="O91" s="82" t="s">
        <v>42</v>
      </c>
      <c r="P91" s="82" t="s">
        <v>42</v>
      </c>
      <c r="Q91" s="86">
        <v>597.55700000000002</v>
      </c>
      <c r="R91" s="86" t="s">
        <v>570</v>
      </c>
      <c r="S91" s="86" t="s">
        <v>571</v>
      </c>
      <c r="T91" s="86" t="s">
        <v>572</v>
      </c>
      <c r="U91" s="87">
        <v>0.05</v>
      </c>
      <c r="V91" s="82" t="s">
        <v>43</v>
      </c>
      <c r="W91" s="82" t="s">
        <v>43</v>
      </c>
      <c r="X91" s="82" t="s">
        <v>41</v>
      </c>
      <c r="Y91" s="82" t="s">
        <v>43</v>
      </c>
      <c r="Z91" s="82" t="s">
        <v>42</v>
      </c>
      <c r="AA91" s="82" t="s">
        <v>43</v>
      </c>
    </row>
    <row r="92" spans="1:27" s="73" customFormat="1" ht="56.25" x14ac:dyDescent="0.15">
      <c r="A92" s="82" t="s">
        <v>573</v>
      </c>
      <c r="B92" s="81" t="s">
        <v>574</v>
      </c>
      <c r="C92" s="81" t="s">
        <v>82</v>
      </c>
      <c r="D92" s="83" t="s">
        <v>575</v>
      </c>
      <c r="E92" s="82" t="s">
        <v>84</v>
      </c>
      <c r="F92" s="82" t="s">
        <v>85</v>
      </c>
      <c r="G92" s="82" t="s">
        <v>86</v>
      </c>
      <c r="H92" s="82" t="s">
        <v>43</v>
      </c>
      <c r="I92" s="82" t="s">
        <v>87</v>
      </c>
      <c r="J92" s="82" t="s">
        <v>43</v>
      </c>
      <c r="K92" s="82" t="s">
        <v>88</v>
      </c>
      <c r="L92" s="82" t="s">
        <v>42</v>
      </c>
      <c r="M92" s="82" t="s">
        <v>43</v>
      </c>
      <c r="N92" s="82" t="s">
        <v>42</v>
      </c>
      <c r="O92" s="82" t="s">
        <v>42</v>
      </c>
      <c r="P92" s="82" t="s">
        <v>42</v>
      </c>
      <c r="Q92" s="86">
        <v>0</v>
      </c>
      <c r="R92" s="86">
        <v>0</v>
      </c>
      <c r="S92" s="86">
        <v>0</v>
      </c>
      <c r="T92" s="86">
        <v>0</v>
      </c>
      <c r="U92" s="88"/>
      <c r="V92" s="82" t="s">
        <v>43</v>
      </c>
      <c r="W92" s="82" t="s">
        <v>43</v>
      </c>
      <c r="X92" s="82" t="s">
        <v>43</v>
      </c>
      <c r="Y92" s="82" t="s">
        <v>41</v>
      </c>
      <c r="Z92" s="82" t="s">
        <v>89</v>
      </c>
      <c r="AA92" s="82" t="s">
        <v>43</v>
      </c>
    </row>
    <row r="93" spans="1:27" ht="33.75" x14ac:dyDescent="0.15">
      <c r="A93" s="82" t="s">
        <v>576</v>
      </c>
      <c r="B93" s="81" t="s">
        <v>577</v>
      </c>
      <c r="C93" s="81" t="s">
        <v>577</v>
      </c>
      <c r="D93" s="83">
        <v>2910</v>
      </c>
      <c r="E93" s="82" t="s">
        <v>64</v>
      </c>
      <c r="F93" s="82" t="s">
        <v>65</v>
      </c>
      <c r="G93" s="82" t="s">
        <v>66</v>
      </c>
      <c r="H93" s="82" t="s">
        <v>41</v>
      </c>
      <c r="I93" s="82" t="s">
        <v>42</v>
      </c>
      <c r="J93" s="82" t="s">
        <v>43</v>
      </c>
      <c r="K93" s="82" t="s">
        <v>74</v>
      </c>
      <c r="L93" s="82" t="s">
        <v>42</v>
      </c>
      <c r="M93" s="82" t="s">
        <v>43</v>
      </c>
      <c r="N93" s="82" t="s">
        <v>42</v>
      </c>
      <c r="O93" s="82" t="s">
        <v>42</v>
      </c>
      <c r="P93" s="82" t="s">
        <v>42</v>
      </c>
      <c r="Q93" s="86" t="s">
        <v>578</v>
      </c>
      <c r="R93" s="86" t="s">
        <v>579</v>
      </c>
      <c r="S93" s="86" t="s">
        <v>580</v>
      </c>
      <c r="T93" s="86" t="s">
        <v>581</v>
      </c>
      <c r="U93" s="87">
        <v>0.11</v>
      </c>
      <c r="V93" s="82" t="s">
        <v>43</v>
      </c>
      <c r="W93" s="82" t="s">
        <v>43</v>
      </c>
      <c r="X93" s="82" t="s">
        <v>43</v>
      </c>
      <c r="Y93" s="82" t="s">
        <v>43</v>
      </c>
      <c r="Z93" s="82" t="s">
        <v>42</v>
      </c>
      <c r="AA93" s="82" t="s">
        <v>43</v>
      </c>
    </row>
    <row r="94" spans="1:27" ht="33.75" x14ac:dyDescent="0.15">
      <c r="A94" s="82" t="s">
        <v>582</v>
      </c>
      <c r="B94" s="81" t="s">
        <v>583</v>
      </c>
      <c r="C94" s="81" t="s">
        <v>583</v>
      </c>
      <c r="D94" s="83" t="s">
        <v>584</v>
      </c>
      <c r="E94" s="82" t="s">
        <v>215</v>
      </c>
      <c r="F94" s="82" t="s">
        <v>39</v>
      </c>
      <c r="G94" s="82" t="s">
        <v>216</v>
      </c>
      <c r="H94" s="82" t="s">
        <v>41</v>
      </c>
      <c r="I94" s="82" t="s">
        <v>42</v>
      </c>
      <c r="J94" s="82" t="s">
        <v>41</v>
      </c>
      <c r="K94" s="82" t="s">
        <v>74</v>
      </c>
      <c r="L94" s="82" t="s">
        <v>45</v>
      </c>
      <c r="M94" s="82" t="s">
        <v>41</v>
      </c>
      <c r="N94" s="69" t="s">
        <v>41</v>
      </c>
      <c r="O94" s="84"/>
      <c r="P94" s="84" t="s">
        <v>42</v>
      </c>
      <c r="Q94" s="86" t="s">
        <v>585</v>
      </c>
      <c r="R94" s="86" t="s">
        <v>586</v>
      </c>
      <c r="S94" s="86" t="s">
        <v>587</v>
      </c>
      <c r="T94" s="86" t="s">
        <v>588</v>
      </c>
      <c r="U94" s="87">
        <v>0.42</v>
      </c>
      <c r="V94" s="82" t="s">
        <v>41</v>
      </c>
      <c r="W94" s="82" t="s">
        <v>41</v>
      </c>
      <c r="X94" s="82" t="s">
        <v>43</v>
      </c>
      <c r="Y94" s="82" t="s">
        <v>43</v>
      </c>
      <c r="Z94" s="82" t="s">
        <v>42</v>
      </c>
      <c r="AA94" s="82" t="s">
        <v>41</v>
      </c>
    </row>
    <row r="95" spans="1:27" ht="33.75" x14ac:dyDescent="0.15">
      <c r="A95" s="82" t="s">
        <v>589</v>
      </c>
      <c r="B95" s="81" t="s">
        <v>590</v>
      </c>
      <c r="C95" s="81" t="s">
        <v>590</v>
      </c>
      <c r="D95" s="83">
        <v>6980</v>
      </c>
      <c r="E95" s="82" t="s">
        <v>72</v>
      </c>
      <c r="F95" s="82" t="s">
        <v>65</v>
      </c>
      <c r="G95" s="82" t="s">
        <v>73</v>
      </c>
      <c r="H95" s="82" t="s">
        <v>41</v>
      </c>
      <c r="I95" s="82" t="s">
        <v>42</v>
      </c>
      <c r="J95" s="82" t="s">
        <v>41</v>
      </c>
      <c r="K95" s="82" t="s">
        <v>74</v>
      </c>
      <c r="L95" s="82" t="s">
        <v>42</v>
      </c>
      <c r="M95" s="82" t="s">
        <v>41</v>
      </c>
      <c r="N95" s="82" t="s">
        <v>42</v>
      </c>
      <c r="O95" s="82" t="s">
        <v>42</v>
      </c>
      <c r="P95" s="82" t="s">
        <v>42</v>
      </c>
      <c r="Q95" s="86" t="s">
        <v>591</v>
      </c>
      <c r="R95" s="86" t="s">
        <v>592</v>
      </c>
      <c r="S95" s="86" t="s">
        <v>593</v>
      </c>
      <c r="T95" s="86" t="s">
        <v>594</v>
      </c>
      <c r="U95" s="87">
        <v>0.41</v>
      </c>
      <c r="V95" s="82" t="s">
        <v>43</v>
      </c>
      <c r="W95" s="82" t="s">
        <v>43</v>
      </c>
      <c r="X95" s="82" t="s">
        <v>43</v>
      </c>
      <c r="Y95" s="82" t="s">
        <v>43</v>
      </c>
      <c r="Z95" s="82" t="s">
        <v>176</v>
      </c>
      <c r="AA95" s="82" t="s">
        <v>43</v>
      </c>
    </row>
    <row r="96" spans="1:27" ht="56.25" x14ac:dyDescent="0.15">
      <c r="A96" s="82" t="s">
        <v>595</v>
      </c>
      <c r="B96" s="81" t="s">
        <v>596</v>
      </c>
      <c r="C96" s="81" t="s">
        <v>267</v>
      </c>
      <c r="D96" s="83" t="s">
        <v>597</v>
      </c>
      <c r="E96" s="82" t="s">
        <v>215</v>
      </c>
      <c r="F96" s="82" t="s">
        <v>269</v>
      </c>
      <c r="G96" s="82" t="s">
        <v>480</v>
      </c>
      <c r="H96" s="82" t="s">
        <v>43</v>
      </c>
      <c r="I96" s="82" t="s">
        <v>271</v>
      </c>
      <c r="J96" s="82" t="s">
        <v>43</v>
      </c>
      <c r="K96" s="82" t="s">
        <v>93</v>
      </c>
      <c r="L96" s="82" t="s">
        <v>42</v>
      </c>
      <c r="M96" s="82" t="s">
        <v>43</v>
      </c>
      <c r="N96" s="82" t="s">
        <v>42</v>
      </c>
      <c r="O96" s="82" t="s">
        <v>42</v>
      </c>
      <c r="P96" s="82" t="s">
        <v>42</v>
      </c>
      <c r="Q96" s="86">
        <v>0</v>
      </c>
      <c r="R96" s="86">
        <v>0</v>
      </c>
      <c r="S96" s="86">
        <v>0</v>
      </c>
      <c r="T96" s="86">
        <v>0</v>
      </c>
      <c r="U96" s="88"/>
      <c r="V96" s="82" t="s">
        <v>43</v>
      </c>
      <c r="W96" s="82" t="s">
        <v>43</v>
      </c>
      <c r="X96" s="82" t="s">
        <v>43</v>
      </c>
      <c r="Y96" s="82" t="s">
        <v>41</v>
      </c>
      <c r="Z96" s="82" t="s">
        <v>42</v>
      </c>
      <c r="AA96" s="82" t="s">
        <v>43</v>
      </c>
    </row>
    <row r="97" spans="1:27" ht="33.75" x14ac:dyDescent="0.15">
      <c r="A97" s="82" t="s">
        <v>598</v>
      </c>
      <c r="B97" s="81" t="s">
        <v>599</v>
      </c>
      <c r="C97" s="81" t="s">
        <v>599</v>
      </c>
      <c r="D97" s="83">
        <v>2970</v>
      </c>
      <c r="E97" s="82" t="s">
        <v>38</v>
      </c>
      <c r="F97" s="82" t="s">
        <v>39</v>
      </c>
      <c r="G97" s="82" t="s">
        <v>40</v>
      </c>
      <c r="H97" s="82" t="s">
        <v>41</v>
      </c>
      <c r="I97" s="82" t="s">
        <v>42</v>
      </c>
      <c r="J97" s="82" t="s">
        <v>43</v>
      </c>
      <c r="K97" s="82" t="s">
        <v>74</v>
      </c>
      <c r="L97" s="82" t="s">
        <v>42</v>
      </c>
      <c r="M97" s="82" t="s">
        <v>41</v>
      </c>
      <c r="N97" s="82" t="s">
        <v>42</v>
      </c>
      <c r="O97" s="82" t="s">
        <v>42</v>
      </c>
      <c r="P97" s="82" t="s">
        <v>42</v>
      </c>
      <c r="Q97" s="86" t="s">
        <v>600</v>
      </c>
      <c r="R97" s="86" t="s">
        <v>601</v>
      </c>
      <c r="S97" s="86" t="s">
        <v>602</v>
      </c>
      <c r="T97" s="86" t="s">
        <v>603</v>
      </c>
      <c r="U97" s="87">
        <v>0.13</v>
      </c>
      <c r="V97" s="82" t="s">
        <v>43</v>
      </c>
      <c r="W97" s="82" t="s">
        <v>41</v>
      </c>
      <c r="X97" s="82" t="s">
        <v>41</v>
      </c>
      <c r="Y97" s="82" t="s">
        <v>43</v>
      </c>
      <c r="Z97" s="82" t="s">
        <v>42</v>
      </c>
      <c r="AA97" s="82" t="s">
        <v>43</v>
      </c>
    </row>
    <row r="98" spans="1:27" ht="33.75" x14ac:dyDescent="0.15">
      <c r="A98" s="82" t="s">
        <v>604</v>
      </c>
      <c r="B98" s="81" t="s">
        <v>605</v>
      </c>
      <c r="C98" s="81" t="s">
        <v>605</v>
      </c>
      <c r="D98" s="83">
        <v>3120</v>
      </c>
      <c r="E98" s="82" t="s">
        <v>84</v>
      </c>
      <c r="F98" s="82" t="s">
        <v>85</v>
      </c>
      <c r="G98" s="82" t="s">
        <v>86</v>
      </c>
      <c r="H98" s="82" t="s">
        <v>41</v>
      </c>
      <c r="I98" s="82" t="s">
        <v>42</v>
      </c>
      <c r="J98" s="82" t="s">
        <v>43</v>
      </c>
      <c r="K98" s="82" t="s">
        <v>74</v>
      </c>
      <c r="L98" s="82" t="s">
        <v>42</v>
      </c>
      <c r="M98" s="82" t="s">
        <v>43</v>
      </c>
      <c r="N98" s="82" t="s">
        <v>42</v>
      </c>
      <c r="O98" s="82" t="s">
        <v>42</v>
      </c>
      <c r="P98" s="82" t="s">
        <v>42</v>
      </c>
      <c r="Q98" s="86">
        <v>328.88299999999998</v>
      </c>
      <c r="R98" s="86" t="s">
        <v>606</v>
      </c>
      <c r="S98" s="86" t="s">
        <v>607</v>
      </c>
      <c r="T98" s="86" t="s">
        <v>608</v>
      </c>
      <c r="U98" s="87">
        <v>0.09</v>
      </c>
      <c r="V98" s="82" t="s">
        <v>43</v>
      </c>
      <c r="W98" s="82" t="s">
        <v>43</v>
      </c>
      <c r="X98" s="82" t="s">
        <v>43</v>
      </c>
      <c r="Y98" s="82" t="s">
        <v>43</v>
      </c>
      <c r="Z98" s="82" t="s">
        <v>142</v>
      </c>
      <c r="AA98" s="82" t="s">
        <v>43</v>
      </c>
    </row>
    <row r="99" spans="1:27" ht="22.5" x14ac:dyDescent="0.15">
      <c r="A99" s="82" t="s">
        <v>609</v>
      </c>
      <c r="B99" s="81" t="s">
        <v>610</v>
      </c>
      <c r="C99" s="81" t="s">
        <v>610</v>
      </c>
      <c r="D99" s="83">
        <v>3180</v>
      </c>
      <c r="E99" s="82" t="s">
        <v>145</v>
      </c>
      <c r="F99" s="82" t="s">
        <v>65</v>
      </c>
      <c r="G99" s="82" t="s">
        <v>73</v>
      </c>
      <c r="H99" s="82" t="s">
        <v>41</v>
      </c>
      <c r="I99" s="82" t="s">
        <v>42</v>
      </c>
      <c r="J99" s="82" t="s">
        <v>43</v>
      </c>
      <c r="K99" s="82" t="s">
        <v>44</v>
      </c>
      <c r="L99" s="82" t="s">
        <v>45</v>
      </c>
      <c r="M99" s="82" t="s">
        <v>41</v>
      </c>
      <c r="N99" s="69" t="s">
        <v>41</v>
      </c>
      <c r="O99" s="84"/>
      <c r="P99" s="84" t="s">
        <v>42</v>
      </c>
      <c r="Q99" s="86" t="s">
        <v>611</v>
      </c>
      <c r="R99" s="86" t="s">
        <v>612</v>
      </c>
      <c r="S99" s="86" t="s">
        <v>613</v>
      </c>
      <c r="T99" s="86" t="s">
        <v>614</v>
      </c>
      <c r="U99" s="87">
        <v>0.21</v>
      </c>
      <c r="V99" s="82" t="s">
        <v>41</v>
      </c>
      <c r="W99" s="82" t="s">
        <v>41</v>
      </c>
      <c r="X99" s="82" t="s">
        <v>41</v>
      </c>
      <c r="Y99" s="82" t="s">
        <v>43</v>
      </c>
      <c r="Z99" s="82" t="s">
        <v>150</v>
      </c>
      <c r="AA99" s="82" t="s">
        <v>41</v>
      </c>
    </row>
    <row r="100" spans="1:27" ht="33.75" x14ac:dyDescent="0.15">
      <c r="A100" s="82" t="s">
        <v>615</v>
      </c>
      <c r="B100" s="81" t="s">
        <v>616</v>
      </c>
      <c r="C100" s="81" t="s">
        <v>616</v>
      </c>
      <c r="D100" s="83">
        <v>3210</v>
      </c>
      <c r="E100" s="82" t="s">
        <v>145</v>
      </c>
      <c r="F100" s="82" t="s">
        <v>65</v>
      </c>
      <c r="G100" s="82" t="s">
        <v>73</v>
      </c>
      <c r="H100" s="82" t="s">
        <v>41</v>
      </c>
      <c r="I100" s="82" t="s">
        <v>42</v>
      </c>
      <c r="J100" s="82" t="s">
        <v>41</v>
      </c>
      <c r="K100" s="82" t="s">
        <v>74</v>
      </c>
      <c r="L100" s="82" t="s">
        <v>45</v>
      </c>
      <c r="M100" s="82" t="s">
        <v>41</v>
      </c>
      <c r="N100" s="69" t="s">
        <v>41</v>
      </c>
      <c r="O100" s="84"/>
      <c r="P100" s="84" t="s">
        <v>42</v>
      </c>
      <c r="Q100" s="86" t="s">
        <v>617</v>
      </c>
      <c r="R100" s="86" t="s">
        <v>618</v>
      </c>
      <c r="S100" s="86" t="s">
        <v>619</v>
      </c>
      <c r="T100" s="86" t="s">
        <v>620</v>
      </c>
      <c r="U100" s="87">
        <v>0.27</v>
      </c>
      <c r="V100" s="82" t="s">
        <v>41</v>
      </c>
      <c r="W100" s="82" t="s">
        <v>43</v>
      </c>
      <c r="X100" s="82" t="s">
        <v>43</v>
      </c>
      <c r="Y100" s="82" t="s">
        <v>43</v>
      </c>
      <c r="Z100" s="82" t="s">
        <v>150</v>
      </c>
      <c r="AA100" s="82" t="s">
        <v>41</v>
      </c>
    </row>
    <row r="101" spans="1:27" ht="56.25" x14ac:dyDescent="0.15">
      <c r="A101" s="82" t="s">
        <v>621</v>
      </c>
      <c r="B101" s="81" t="s">
        <v>622</v>
      </c>
      <c r="C101" s="81" t="s">
        <v>267</v>
      </c>
      <c r="D101" s="83" t="s">
        <v>623</v>
      </c>
      <c r="E101" s="82" t="s">
        <v>215</v>
      </c>
      <c r="F101" s="82" t="s">
        <v>269</v>
      </c>
      <c r="G101" s="82" t="s">
        <v>270</v>
      </c>
      <c r="H101" s="82" t="s">
        <v>43</v>
      </c>
      <c r="I101" s="82" t="s">
        <v>271</v>
      </c>
      <c r="J101" s="82" t="s">
        <v>43</v>
      </c>
      <c r="K101" s="82" t="s">
        <v>88</v>
      </c>
      <c r="L101" s="82" t="s">
        <v>42</v>
      </c>
      <c r="M101" s="82" t="s">
        <v>43</v>
      </c>
      <c r="N101" s="82" t="s">
        <v>42</v>
      </c>
      <c r="O101" s="82" t="s">
        <v>42</v>
      </c>
      <c r="P101" s="82" t="s">
        <v>42</v>
      </c>
      <c r="Q101" s="86">
        <v>0</v>
      </c>
      <c r="R101" s="86">
        <v>0</v>
      </c>
      <c r="S101" s="86">
        <v>0</v>
      </c>
      <c r="T101" s="86">
        <v>0</v>
      </c>
      <c r="U101" s="88"/>
      <c r="V101" s="82" t="s">
        <v>43</v>
      </c>
      <c r="W101" s="82" t="s">
        <v>43</v>
      </c>
      <c r="X101" s="82" t="s">
        <v>43</v>
      </c>
      <c r="Y101" s="82" t="s">
        <v>41</v>
      </c>
      <c r="Z101" s="82" t="s">
        <v>42</v>
      </c>
      <c r="AA101" s="82" t="s">
        <v>43</v>
      </c>
    </row>
    <row r="102" spans="1:27" ht="33.75" x14ac:dyDescent="0.15">
      <c r="A102" s="82" t="s">
        <v>624</v>
      </c>
      <c r="B102" s="81" t="s">
        <v>625</v>
      </c>
      <c r="C102" s="81" t="s">
        <v>625</v>
      </c>
      <c r="D102" s="83">
        <v>2660</v>
      </c>
      <c r="E102" s="82" t="s">
        <v>53</v>
      </c>
      <c r="F102" s="82" t="s">
        <v>54</v>
      </c>
      <c r="G102" s="82" t="s">
        <v>55</v>
      </c>
      <c r="H102" s="82" t="s">
        <v>41</v>
      </c>
      <c r="I102" s="82" t="s">
        <v>42</v>
      </c>
      <c r="J102" s="82" t="s">
        <v>43</v>
      </c>
      <c r="K102" s="82" t="s">
        <v>56</v>
      </c>
      <c r="L102" s="82" t="s">
        <v>42</v>
      </c>
      <c r="M102" s="82" t="s">
        <v>43</v>
      </c>
      <c r="N102" s="82" t="s">
        <v>42</v>
      </c>
      <c r="O102" s="82" t="s">
        <v>42</v>
      </c>
      <c r="P102" s="82" t="s">
        <v>42</v>
      </c>
      <c r="Q102" s="86">
        <v>0</v>
      </c>
      <c r="R102" s="86">
        <v>777.33699999999999</v>
      </c>
      <c r="S102" s="86" t="s">
        <v>626</v>
      </c>
      <c r="T102" s="86" t="s">
        <v>627</v>
      </c>
      <c r="U102" s="87">
        <v>0</v>
      </c>
      <c r="V102" s="82" t="s">
        <v>43</v>
      </c>
      <c r="W102" s="82" t="s">
        <v>43</v>
      </c>
      <c r="X102" s="82" t="s">
        <v>41</v>
      </c>
      <c r="Y102" s="82" t="s">
        <v>43</v>
      </c>
      <c r="Z102" s="82" t="s">
        <v>42</v>
      </c>
      <c r="AA102" s="82" t="s">
        <v>43</v>
      </c>
    </row>
    <row r="103" spans="1:27" x14ac:dyDescent="0.15">
      <c r="A103" s="82" t="s">
        <v>628</v>
      </c>
      <c r="B103" s="81" t="s">
        <v>629</v>
      </c>
      <c r="C103" s="81" t="s">
        <v>629</v>
      </c>
      <c r="D103" s="83">
        <v>6350</v>
      </c>
      <c r="E103" s="82" t="s">
        <v>64</v>
      </c>
      <c r="F103" s="82" t="s">
        <v>39</v>
      </c>
      <c r="G103" s="82" t="s">
        <v>104</v>
      </c>
      <c r="H103" s="82" t="s">
        <v>41</v>
      </c>
      <c r="I103" s="82" t="s">
        <v>42</v>
      </c>
      <c r="J103" s="82" t="s">
        <v>43</v>
      </c>
      <c r="K103" s="82" t="s">
        <v>93</v>
      </c>
      <c r="L103" s="82" t="s">
        <v>42</v>
      </c>
      <c r="M103" s="82" t="s">
        <v>43</v>
      </c>
      <c r="N103" s="82" t="s">
        <v>42</v>
      </c>
      <c r="O103" s="82" t="s">
        <v>42</v>
      </c>
      <c r="P103" s="82" t="s">
        <v>42</v>
      </c>
      <c r="Q103" s="86">
        <v>-2.4209999999999998</v>
      </c>
      <c r="R103" s="86" t="s">
        <v>630</v>
      </c>
      <c r="S103" s="86">
        <v>168.94800000000001</v>
      </c>
      <c r="T103" s="86" t="s">
        <v>631</v>
      </c>
      <c r="U103" s="87">
        <v>0</v>
      </c>
      <c r="V103" s="82" t="s">
        <v>43</v>
      </c>
      <c r="W103" s="82" t="s">
        <v>43</v>
      </c>
      <c r="X103" s="82" t="s">
        <v>43</v>
      </c>
      <c r="Y103" s="82" t="s">
        <v>43</v>
      </c>
      <c r="Z103" s="82" t="s">
        <v>42</v>
      </c>
      <c r="AA103" s="82" t="s">
        <v>43</v>
      </c>
    </row>
    <row r="104" spans="1:27" ht="33.75" x14ac:dyDescent="0.15">
      <c r="A104" s="82" t="s">
        <v>632</v>
      </c>
      <c r="B104" s="81" t="s">
        <v>633</v>
      </c>
      <c r="C104" s="81" t="s">
        <v>633</v>
      </c>
      <c r="D104" s="83">
        <v>3300</v>
      </c>
      <c r="E104" s="82" t="s">
        <v>38</v>
      </c>
      <c r="F104" s="82" t="s">
        <v>39</v>
      </c>
      <c r="G104" s="82" t="s">
        <v>40</v>
      </c>
      <c r="H104" s="82" t="s">
        <v>41</v>
      </c>
      <c r="I104" s="82" t="s">
        <v>42</v>
      </c>
      <c r="J104" s="82" t="s">
        <v>41</v>
      </c>
      <c r="K104" s="82" t="s">
        <v>74</v>
      </c>
      <c r="L104" s="82" t="s">
        <v>42</v>
      </c>
      <c r="M104" s="82" t="s">
        <v>41</v>
      </c>
      <c r="N104" s="69" t="s">
        <v>41</v>
      </c>
      <c r="O104" s="84"/>
      <c r="P104" s="84" t="s">
        <v>42</v>
      </c>
      <c r="Q104" s="86" t="s">
        <v>634</v>
      </c>
      <c r="R104" s="86" t="s">
        <v>635</v>
      </c>
      <c r="S104" s="86" t="s">
        <v>636</v>
      </c>
      <c r="T104" s="86" t="s">
        <v>637</v>
      </c>
      <c r="U104" s="87">
        <v>0.15</v>
      </c>
      <c r="V104" s="82" t="s">
        <v>43</v>
      </c>
      <c r="W104" s="82" t="s">
        <v>43</v>
      </c>
      <c r="X104" s="82" t="s">
        <v>43</v>
      </c>
      <c r="Y104" s="82" t="s">
        <v>43</v>
      </c>
      <c r="Z104" s="82" t="s">
        <v>42</v>
      </c>
      <c r="AA104" s="82" t="s">
        <v>43</v>
      </c>
    </row>
    <row r="105" spans="1:27" ht="56.25" x14ac:dyDescent="0.15">
      <c r="A105" s="82" t="s">
        <v>638</v>
      </c>
      <c r="B105" s="81" t="s">
        <v>639</v>
      </c>
      <c r="C105" s="81" t="s">
        <v>267</v>
      </c>
      <c r="D105" s="83" t="s">
        <v>640</v>
      </c>
      <c r="E105" s="82" t="s">
        <v>215</v>
      </c>
      <c r="F105" s="82" t="s">
        <v>269</v>
      </c>
      <c r="G105" s="82" t="s">
        <v>480</v>
      </c>
      <c r="H105" s="82" t="s">
        <v>43</v>
      </c>
      <c r="I105" s="82" t="s">
        <v>271</v>
      </c>
      <c r="J105" s="82" t="s">
        <v>43</v>
      </c>
      <c r="K105" s="82" t="s">
        <v>93</v>
      </c>
      <c r="L105" s="82" t="s">
        <v>42</v>
      </c>
      <c r="M105" s="82" t="s">
        <v>43</v>
      </c>
      <c r="N105" s="82" t="s">
        <v>42</v>
      </c>
      <c r="O105" s="82" t="s">
        <v>42</v>
      </c>
      <c r="P105" s="82" t="s">
        <v>42</v>
      </c>
      <c r="Q105" s="86">
        <v>0</v>
      </c>
      <c r="R105" s="86">
        <v>0</v>
      </c>
      <c r="S105" s="86">
        <v>0</v>
      </c>
      <c r="T105" s="86">
        <v>0</v>
      </c>
      <c r="U105" s="88"/>
      <c r="V105" s="82" t="s">
        <v>43</v>
      </c>
      <c r="W105" s="82" t="s">
        <v>43</v>
      </c>
      <c r="X105" s="82" t="s">
        <v>43</v>
      </c>
      <c r="Y105" s="82" t="s">
        <v>41</v>
      </c>
      <c r="Z105" s="82" t="s">
        <v>42</v>
      </c>
      <c r="AA105" s="82" t="s">
        <v>43</v>
      </c>
    </row>
    <row r="106" spans="1:27" ht="33.75" x14ac:dyDescent="0.15">
      <c r="A106" s="82" t="s">
        <v>641</v>
      </c>
      <c r="B106" s="81" t="s">
        <v>642</v>
      </c>
      <c r="C106" s="81" t="s">
        <v>642</v>
      </c>
      <c r="D106" s="83">
        <v>7050</v>
      </c>
      <c r="E106" s="82" t="s">
        <v>64</v>
      </c>
      <c r="F106" s="82" t="s">
        <v>39</v>
      </c>
      <c r="G106" s="82" t="s">
        <v>104</v>
      </c>
      <c r="H106" s="82" t="s">
        <v>41</v>
      </c>
      <c r="I106" s="82" t="s">
        <v>42</v>
      </c>
      <c r="J106" s="82" t="s">
        <v>43</v>
      </c>
      <c r="K106" s="82" t="s">
        <v>74</v>
      </c>
      <c r="L106" s="82"/>
      <c r="M106" s="82" t="s">
        <v>41</v>
      </c>
      <c r="N106" s="69" t="s">
        <v>41</v>
      </c>
      <c r="O106" s="84"/>
      <c r="P106" s="84" t="s">
        <v>42</v>
      </c>
      <c r="Q106" s="86" t="s">
        <v>643</v>
      </c>
      <c r="R106" s="86" t="s">
        <v>644</v>
      </c>
      <c r="S106" s="86" t="s">
        <v>645</v>
      </c>
      <c r="T106" s="86" t="s">
        <v>646</v>
      </c>
      <c r="U106" s="72">
        <v>0.9</v>
      </c>
      <c r="V106" s="82" t="s">
        <v>41</v>
      </c>
      <c r="W106" s="82" t="s">
        <v>43</v>
      </c>
      <c r="X106" s="82" t="s">
        <v>43</v>
      </c>
      <c r="Y106" s="82" t="s">
        <v>43</v>
      </c>
      <c r="Z106" s="82" t="s">
        <v>42</v>
      </c>
      <c r="AA106" s="82" t="s">
        <v>41</v>
      </c>
    </row>
    <row r="107" spans="1:27" ht="33.75" x14ac:dyDescent="0.15">
      <c r="A107" s="82" t="s">
        <v>647</v>
      </c>
      <c r="B107" s="81" t="s">
        <v>648</v>
      </c>
      <c r="C107" s="81" t="s">
        <v>648</v>
      </c>
      <c r="D107" s="83">
        <v>3330</v>
      </c>
      <c r="E107" s="82" t="s">
        <v>84</v>
      </c>
      <c r="F107" s="82" t="s">
        <v>85</v>
      </c>
      <c r="G107" s="82" t="s">
        <v>86</v>
      </c>
      <c r="H107" s="82" t="s">
        <v>41</v>
      </c>
      <c r="I107" s="82" t="s">
        <v>42</v>
      </c>
      <c r="J107" s="82" t="s">
        <v>43</v>
      </c>
      <c r="K107" s="82" t="s">
        <v>93</v>
      </c>
      <c r="L107" s="82" t="s">
        <v>42</v>
      </c>
      <c r="M107" s="82" t="s">
        <v>41</v>
      </c>
      <c r="N107" s="69" t="s">
        <v>41</v>
      </c>
      <c r="O107" s="84" t="s">
        <v>42</v>
      </c>
      <c r="P107" s="84" t="s">
        <v>41</v>
      </c>
      <c r="Q107" s="86" t="s">
        <v>649</v>
      </c>
      <c r="R107" s="86" t="s">
        <v>650</v>
      </c>
      <c r="S107" s="86" t="s">
        <v>651</v>
      </c>
      <c r="T107" s="86" t="s">
        <v>652</v>
      </c>
      <c r="U107" s="72">
        <v>0.61</v>
      </c>
      <c r="V107" s="82" t="s">
        <v>43</v>
      </c>
      <c r="W107" s="82" t="s">
        <v>43</v>
      </c>
      <c r="X107" s="82" t="s">
        <v>43</v>
      </c>
      <c r="Y107" s="82" t="s">
        <v>43</v>
      </c>
      <c r="Z107" s="82" t="s">
        <v>142</v>
      </c>
      <c r="AA107" s="82" t="s">
        <v>43</v>
      </c>
    </row>
    <row r="108" spans="1:27" ht="33.75" x14ac:dyDescent="0.15">
      <c r="A108" s="82" t="s">
        <v>653</v>
      </c>
      <c r="B108" s="81" t="s">
        <v>654</v>
      </c>
      <c r="C108" s="81" t="s">
        <v>654</v>
      </c>
      <c r="D108" s="83">
        <v>6490</v>
      </c>
      <c r="E108" s="82" t="s">
        <v>215</v>
      </c>
      <c r="F108" s="82" t="s">
        <v>269</v>
      </c>
      <c r="G108" s="82" t="s">
        <v>362</v>
      </c>
      <c r="H108" s="82" t="s">
        <v>41</v>
      </c>
      <c r="I108" s="82" t="s">
        <v>42</v>
      </c>
      <c r="J108" s="82" t="s">
        <v>41</v>
      </c>
      <c r="K108" s="82" t="s">
        <v>74</v>
      </c>
      <c r="L108" s="82" t="s">
        <v>203</v>
      </c>
      <c r="M108" s="82" t="s">
        <v>41</v>
      </c>
      <c r="N108" s="82" t="s">
        <v>42</v>
      </c>
      <c r="O108" s="82" t="s">
        <v>42</v>
      </c>
      <c r="P108" s="82" t="s">
        <v>42</v>
      </c>
      <c r="Q108" s="86" t="s">
        <v>655</v>
      </c>
      <c r="R108" s="86" t="s">
        <v>656</v>
      </c>
      <c r="S108" s="86" t="s">
        <v>657</v>
      </c>
      <c r="T108" s="86" t="s">
        <v>658</v>
      </c>
      <c r="U108" s="87">
        <v>0.12</v>
      </c>
      <c r="V108" s="82" t="s">
        <v>43</v>
      </c>
      <c r="W108" s="82" t="s">
        <v>43</v>
      </c>
      <c r="X108" s="82" t="s">
        <v>43</v>
      </c>
      <c r="Y108" s="82" t="s">
        <v>41</v>
      </c>
      <c r="Z108" s="82" t="s">
        <v>42</v>
      </c>
      <c r="AA108" s="82" t="s">
        <v>43</v>
      </c>
    </row>
    <row r="109" spans="1:27" ht="33.75" x14ac:dyDescent="0.15">
      <c r="A109" s="82" t="s">
        <v>659</v>
      </c>
      <c r="B109" s="81" t="s">
        <v>660</v>
      </c>
      <c r="C109" s="81" t="s">
        <v>660</v>
      </c>
      <c r="D109" s="83">
        <v>3360</v>
      </c>
      <c r="E109" s="82" t="s">
        <v>84</v>
      </c>
      <c r="F109" s="82" t="s">
        <v>85</v>
      </c>
      <c r="G109" s="82" t="s">
        <v>86</v>
      </c>
      <c r="H109" s="82" t="s">
        <v>41</v>
      </c>
      <c r="I109" s="82" t="s">
        <v>42</v>
      </c>
      <c r="J109" s="82" t="s">
        <v>43</v>
      </c>
      <c r="K109" s="82" t="s">
        <v>56</v>
      </c>
      <c r="L109" s="82" t="s">
        <v>42</v>
      </c>
      <c r="M109" s="82" t="s">
        <v>43</v>
      </c>
      <c r="N109" s="82" t="s">
        <v>42</v>
      </c>
      <c r="O109" s="82" t="s">
        <v>42</v>
      </c>
      <c r="P109" s="82" t="s">
        <v>42</v>
      </c>
      <c r="Q109" s="86">
        <v>14.92</v>
      </c>
      <c r="R109" s="86" t="s">
        <v>661</v>
      </c>
      <c r="S109" s="86" t="s">
        <v>662</v>
      </c>
      <c r="T109" s="86" t="s">
        <v>663</v>
      </c>
      <c r="U109" s="87">
        <v>0</v>
      </c>
      <c r="V109" s="82" t="s">
        <v>43</v>
      </c>
      <c r="W109" s="82" t="s">
        <v>43</v>
      </c>
      <c r="X109" s="82" t="s">
        <v>41</v>
      </c>
      <c r="Y109" s="82" t="s">
        <v>43</v>
      </c>
      <c r="Z109" s="82" t="s">
        <v>100</v>
      </c>
      <c r="AA109" s="82" t="s">
        <v>43</v>
      </c>
    </row>
    <row r="110" spans="1:27" ht="33.75" x14ac:dyDescent="0.15">
      <c r="A110" s="82" t="s">
        <v>664</v>
      </c>
      <c r="B110" s="81" t="s">
        <v>665</v>
      </c>
      <c r="C110" s="81" t="s">
        <v>665</v>
      </c>
      <c r="D110" s="83">
        <v>3390</v>
      </c>
      <c r="E110" s="82" t="s">
        <v>84</v>
      </c>
      <c r="F110" s="82" t="s">
        <v>85</v>
      </c>
      <c r="G110" s="82" t="s">
        <v>86</v>
      </c>
      <c r="H110" s="82" t="s">
        <v>41</v>
      </c>
      <c r="I110" s="82" t="s">
        <v>42</v>
      </c>
      <c r="J110" s="82" t="s">
        <v>43</v>
      </c>
      <c r="K110" s="82" t="s">
        <v>56</v>
      </c>
      <c r="L110" s="82" t="s">
        <v>42</v>
      </c>
      <c r="M110" s="82" t="s">
        <v>41</v>
      </c>
      <c r="N110" s="82" t="s">
        <v>42</v>
      </c>
      <c r="O110" s="82" t="s">
        <v>42</v>
      </c>
      <c r="P110" s="82" t="s">
        <v>42</v>
      </c>
      <c r="Q110" s="86" t="s">
        <v>666</v>
      </c>
      <c r="R110" s="86" t="s">
        <v>667</v>
      </c>
      <c r="S110" s="86" t="s">
        <v>668</v>
      </c>
      <c r="T110" s="86" t="s">
        <v>669</v>
      </c>
      <c r="U110" s="87">
        <v>0.31</v>
      </c>
      <c r="V110" s="82" t="s">
        <v>43</v>
      </c>
      <c r="W110" s="82" t="s">
        <v>43</v>
      </c>
      <c r="X110" s="82" t="s">
        <v>43</v>
      </c>
      <c r="Y110" s="82" t="s">
        <v>43</v>
      </c>
      <c r="Z110" s="82" t="s">
        <v>100</v>
      </c>
      <c r="AA110" s="82" t="s">
        <v>43</v>
      </c>
    </row>
    <row r="111" spans="1:27" ht="33.75" x14ac:dyDescent="0.15">
      <c r="A111" s="82" t="s">
        <v>670</v>
      </c>
      <c r="B111" s="81" t="s">
        <v>671</v>
      </c>
      <c r="C111" s="81" t="s">
        <v>671</v>
      </c>
      <c r="D111" s="83">
        <v>3420</v>
      </c>
      <c r="E111" s="82" t="s">
        <v>215</v>
      </c>
      <c r="F111" s="82" t="s">
        <v>39</v>
      </c>
      <c r="G111" s="82" t="s">
        <v>216</v>
      </c>
      <c r="H111" s="82" t="s">
        <v>41</v>
      </c>
      <c r="I111" s="82" t="s">
        <v>42</v>
      </c>
      <c r="J111" s="82" t="s">
        <v>41</v>
      </c>
      <c r="K111" s="82" t="s">
        <v>74</v>
      </c>
      <c r="L111" s="82" t="s">
        <v>42</v>
      </c>
      <c r="M111" s="82" t="s">
        <v>41</v>
      </c>
      <c r="N111" s="82" t="s">
        <v>42</v>
      </c>
      <c r="O111" s="82" t="s">
        <v>42</v>
      </c>
      <c r="P111" s="82" t="s">
        <v>42</v>
      </c>
      <c r="Q111" s="86" t="s">
        <v>672</v>
      </c>
      <c r="R111" s="86" t="s">
        <v>673</v>
      </c>
      <c r="S111" s="86" t="s">
        <v>674</v>
      </c>
      <c r="T111" s="86" t="s">
        <v>675</v>
      </c>
      <c r="U111" s="87">
        <v>0.34</v>
      </c>
      <c r="V111" s="82" t="s">
        <v>43</v>
      </c>
      <c r="W111" s="82" t="s">
        <v>43</v>
      </c>
      <c r="X111" s="82" t="s">
        <v>43</v>
      </c>
      <c r="Y111" s="82" t="s">
        <v>43</v>
      </c>
      <c r="Z111" s="82" t="s">
        <v>42</v>
      </c>
      <c r="AA111" s="82" t="s">
        <v>43</v>
      </c>
    </row>
    <row r="112" spans="1:27" x14ac:dyDescent="0.15">
      <c r="A112" s="82" t="s">
        <v>42</v>
      </c>
      <c r="B112" s="81" t="s">
        <v>676</v>
      </c>
      <c r="C112" s="81" t="s">
        <v>676</v>
      </c>
      <c r="D112" s="83" t="s">
        <v>42</v>
      </c>
      <c r="E112" s="82" t="s">
        <v>42</v>
      </c>
      <c r="F112" s="82" t="s">
        <v>42</v>
      </c>
      <c r="G112" s="82" t="s">
        <v>42</v>
      </c>
      <c r="H112" s="82" t="s">
        <v>42</v>
      </c>
      <c r="I112" s="82" t="s">
        <v>42</v>
      </c>
      <c r="J112" s="82" t="s">
        <v>42</v>
      </c>
      <c r="K112" s="82" t="s">
        <v>93</v>
      </c>
      <c r="L112" s="82" t="s">
        <v>42</v>
      </c>
      <c r="M112" s="82" t="s">
        <v>41</v>
      </c>
      <c r="N112" s="69" t="s">
        <v>41</v>
      </c>
      <c r="O112" s="84"/>
      <c r="P112" s="84"/>
      <c r="Q112" s="86" t="s">
        <v>677</v>
      </c>
      <c r="R112" s="86" t="s">
        <v>678</v>
      </c>
      <c r="S112" s="86">
        <v>-321.90499999999997</v>
      </c>
      <c r="T112" s="86" t="s">
        <v>679</v>
      </c>
      <c r="U112" s="72">
        <v>0.93</v>
      </c>
      <c r="V112" s="82" t="s">
        <v>43</v>
      </c>
      <c r="W112" s="82" t="s">
        <v>42</v>
      </c>
      <c r="X112" s="82" t="s">
        <v>42</v>
      </c>
      <c r="Y112" s="82" t="s">
        <v>42</v>
      </c>
      <c r="Z112" s="82" t="s">
        <v>42</v>
      </c>
      <c r="AA112" s="82" t="s">
        <v>42</v>
      </c>
    </row>
    <row r="113" spans="1:27" ht="56.25" x14ac:dyDescent="0.15">
      <c r="A113" s="82" t="s">
        <v>680</v>
      </c>
      <c r="B113" s="81" t="s">
        <v>681</v>
      </c>
      <c r="C113" s="81" t="s">
        <v>115</v>
      </c>
      <c r="D113" s="83" t="s">
        <v>682</v>
      </c>
      <c r="E113" s="82" t="s">
        <v>64</v>
      </c>
      <c r="F113" s="82" t="s">
        <v>39</v>
      </c>
      <c r="G113" s="82" t="s">
        <v>104</v>
      </c>
      <c r="H113" s="82" t="s">
        <v>43</v>
      </c>
      <c r="I113" s="82" t="s">
        <v>117</v>
      </c>
      <c r="J113" s="82" t="s">
        <v>43</v>
      </c>
      <c r="K113" s="82" t="s">
        <v>93</v>
      </c>
      <c r="L113" s="82" t="s">
        <v>42</v>
      </c>
      <c r="M113" s="82" t="s">
        <v>43</v>
      </c>
      <c r="N113" s="82" t="s">
        <v>42</v>
      </c>
      <c r="O113" s="82" t="s">
        <v>42</v>
      </c>
      <c r="P113" s="82" t="s">
        <v>42</v>
      </c>
      <c r="Q113" s="86">
        <v>0</v>
      </c>
      <c r="R113" s="86">
        <v>0</v>
      </c>
      <c r="S113" s="86">
        <v>0</v>
      </c>
      <c r="T113" s="86">
        <v>0</v>
      </c>
      <c r="U113" s="88"/>
      <c r="V113" s="82" t="s">
        <v>43</v>
      </c>
      <c r="W113" s="82" t="s">
        <v>43</v>
      </c>
      <c r="X113" s="82" t="s">
        <v>43</v>
      </c>
      <c r="Y113" s="82" t="s">
        <v>43</v>
      </c>
      <c r="Z113" s="82" t="s">
        <v>42</v>
      </c>
      <c r="AA113" s="82" t="s">
        <v>43</v>
      </c>
    </row>
    <row r="114" spans="1:27" ht="33.75" x14ac:dyDescent="0.15">
      <c r="A114" s="82" t="s">
        <v>683</v>
      </c>
      <c r="B114" s="81" t="s">
        <v>684</v>
      </c>
      <c r="C114" s="81" t="s">
        <v>684</v>
      </c>
      <c r="D114" s="83">
        <v>4630</v>
      </c>
      <c r="E114" s="82" t="s">
        <v>53</v>
      </c>
      <c r="F114" s="82" t="s">
        <v>39</v>
      </c>
      <c r="G114" s="82" t="s">
        <v>467</v>
      </c>
      <c r="H114" s="82" t="s">
        <v>41</v>
      </c>
      <c r="I114" s="82" t="s">
        <v>42</v>
      </c>
      <c r="J114" s="82" t="s">
        <v>41</v>
      </c>
      <c r="K114" s="82" t="s">
        <v>74</v>
      </c>
      <c r="L114" s="82" t="s">
        <v>42</v>
      </c>
      <c r="M114" s="82" t="s">
        <v>43</v>
      </c>
      <c r="N114" s="82" t="s">
        <v>42</v>
      </c>
      <c r="O114" s="82" t="s">
        <v>42</v>
      </c>
      <c r="P114" s="82" t="s">
        <v>42</v>
      </c>
      <c r="Q114" s="86" t="s">
        <v>685</v>
      </c>
      <c r="R114" s="86" t="s">
        <v>686</v>
      </c>
      <c r="S114" s="86" t="s">
        <v>687</v>
      </c>
      <c r="T114" s="86" t="s">
        <v>688</v>
      </c>
      <c r="U114" s="87">
        <v>0.04</v>
      </c>
      <c r="V114" s="82" t="s">
        <v>43</v>
      </c>
      <c r="W114" s="82" t="s">
        <v>43</v>
      </c>
      <c r="X114" s="82" t="s">
        <v>41</v>
      </c>
      <c r="Y114" s="82" t="s">
        <v>43</v>
      </c>
      <c r="Z114" s="82" t="s">
        <v>42</v>
      </c>
      <c r="AA114" s="82" t="s">
        <v>43</v>
      </c>
    </row>
    <row r="115" spans="1:27" ht="33.75" x14ac:dyDescent="0.15">
      <c r="A115" s="82" t="s">
        <v>689</v>
      </c>
      <c r="B115" s="81" t="s">
        <v>690</v>
      </c>
      <c r="C115" s="81" t="s">
        <v>690</v>
      </c>
      <c r="D115" s="83" t="s">
        <v>691</v>
      </c>
      <c r="E115" s="82" t="s">
        <v>145</v>
      </c>
      <c r="F115" s="82" t="s">
        <v>65</v>
      </c>
      <c r="G115" s="82" t="s">
        <v>73</v>
      </c>
      <c r="H115" s="82" t="s">
        <v>41</v>
      </c>
      <c r="I115" s="82" t="s">
        <v>42</v>
      </c>
      <c r="J115" s="82" t="s">
        <v>41</v>
      </c>
      <c r="K115" s="82" t="s">
        <v>74</v>
      </c>
      <c r="L115" s="82" t="s">
        <v>45</v>
      </c>
      <c r="M115" s="82" t="s">
        <v>41</v>
      </c>
      <c r="N115" s="69" t="s">
        <v>41</v>
      </c>
      <c r="O115" s="84"/>
      <c r="P115" s="84" t="s">
        <v>42</v>
      </c>
      <c r="Q115" s="86" t="s">
        <v>692</v>
      </c>
      <c r="R115" s="86" t="s">
        <v>693</v>
      </c>
      <c r="S115" s="86" t="s">
        <v>694</v>
      </c>
      <c r="T115" s="86" t="s">
        <v>695</v>
      </c>
      <c r="U115" s="87">
        <v>0.27</v>
      </c>
      <c r="V115" s="82" t="s">
        <v>41</v>
      </c>
      <c r="W115" s="82" t="s">
        <v>43</v>
      </c>
      <c r="X115" s="82" t="s">
        <v>43</v>
      </c>
      <c r="Y115" s="82" t="s">
        <v>43</v>
      </c>
      <c r="Z115" s="82" t="s">
        <v>79</v>
      </c>
      <c r="AA115" s="82" t="s">
        <v>41</v>
      </c>
    </row>
    <row r="116" spans="1:27" ht="33.75" x14ac:dyDescent="0.15">
      <c r="A116" s="82" t="s">
        <v>477</v>
      </c>
      <c r="B116" s="81" t="s">
        <v>696</v>
      </c>
      <c r="C116" s="81" t="s">
        <v>696</v>
      </c>
      <c r="D116" s="83">
        <v>2450</v>
      </c>
      <c r="E116" s="82" t="s">
        <v>53</v>
      </c>
      <c r="F116" s="82" t="s">
        <v>39</v>
      </c>
      <c r="G116" s="82" t="s">
        <v>467</v>
      </c>
      <c r="H116" s="82" t="s">
        <v>41</v>
      </c>
      <c r="I116" s="82" t="s">
        <v>42</v>
      </c>
      <c r="J116" s="82" t="s">
        <v>43</v>
      </c>
      <c r="K116" s="82" t="s">
        <v>74</v>
      </c>
      <c r="L116" s="82" t="s">
        <v>42</v>
      </c>
      <c r="M116" s="82" t="s">
        <v>43</v>
      </c>
      <c r="N116" s="82" t="s">
        <v>42</v>
      </c>
      <c r="O116" s="82" t="s">
        <v>42</v>
      </c>
      <c r="P116" s="82" t="s">
        <v>42</v>
      </c>
      <c r="Q116" s="86">
        <v>593.67499999999995</v>
      </c>
      <c r="R116" s="86" t="s">
        <v>697</v>
      </c>
      <c r="S116" s="86" t="s">
        <v>698</v>
      </c>
      <c r="T116" s="86" t="s">
        <v>699</v>
      </c>
      <c r="U116" s="87">
        <v>0.09</v>
      </c>
      <c r="V116" s="82" t="s">
        <v>43</v>
      </c>
      <c r="W116" s="82" t="s">
        <v>43</v>
      </c>
      <c r="X116" s="82" t="s">
        <v>41</v>
      </c>
      <c r="Y116" s="82" t="s">
        <v>43</v>
      </c>
      <c r="Z116" s="82" t="s">
        <v>42</v>
      </c>
      <c r="AA116" s="82" t="s">
        <v>43</v>
      </c>
    </row>
    <row r="117" spans="1:27" ht="33.75" x14ac:dyDescent="0.15">
      <c r="A117" s="82" t="s">
        <v>700</v>
      </c>
      <c r="B117" s="81" t="s">
        <v>701</v>
      </c>
      <c r="C117" s="81" t="s">
        <v>701</v>
      </c>
      <c r="D117" s="83">
        <v>8950</v>
      </c>
      <c r="E117" s="82" t="s">
        <v>53</v>
      </c>
      <c r="F117" s="82" t="s">
        <v>54</v>
      </c>
      <c r="G117" s="82" t="s">
        <v>55</v>
      </c>
      <c r="H117" s="82" t="s">
        <v>41</v>
      </c>
      <c r="I117" s="82" t="s">
        <v>42</v>
      </c>
      <c r="J117" s="82" t="s">
        <v>43</v>
      </c>
      <c r="K117" s="82" t="s">
        <v>56</v>
      </c>
      <c r="L117" s="82" t="s">
        <v>42</v>
      </c>
      <c r="M117" s="82" t="s">
        <v>43</v>
      </c>
      <c r="N117" s="82" t="s">
        <v>42</v>
      </c>
      <c r="O117" s="82" t="s">
        <v>42</v>
      </c>
      <c r="P117" s="82" t="s">
        <v>42</v>
      </c>
      <c r="Q117" s="86">
        <v>250.80600000000001</v>
      </c>
      <c r="R117" s="86" t="s">
        <v>702</v>
      </c>
      <c r="S117" s="86" t="s">
        <v>703</v>
      </c>
      <c r="T117" s="86" t="s">
        <v>704</v>
      </c>
      <c r="U117" s="87">
        <v>7.0000000000000007E-2</v>
      </c>
      <c r="V117" s="82" t="s">
        <v>43</v>
      </c>
      <c r="W117" s="82" t="s">
        <v>43</v>
      </c>
      <c r="X117" s="82" t="s">
        <v>43</v>
      </c>
      <c r="Y117" s="82" t="s">
        <v>43</v>
      </c>
      <c r="Z117" s="82" t="s">
        <v>42</v>
      </c>
      <c r="AA117" s="82" t="s">
        <v>43</v>
      </c>
    </row>
    <row r="118" spans="1:27" ht="22.5" x14ac:dyDescent="0.15">
      <c r="A118" s="82" t="s">
        <v>705</v>
      </c>
      <c r="B118" s="81" t="s">
        <v>706</v>
      </c>
      <c r="C118" s="81" t="s">
        <v>706</v>
      </c>
      <c r="D118" s="83">
        <v>6890</v>
      </c>
      <c r="E118" s="82" t="s">
        <v>72</v>
      </c>
      <c r="F118" s="82" t="s">
        <v>65</v>
      </c>
      <c r="G118" s="82" t="s">
        <v>73</v>
      </c>
      <c r="H118" s="82" t="s">
        <v>41</v>
      </c>
      <c r="I118" s="82" t="s">
        <v>42</v>
      </c>
      <c r="J118" s="82" t="s">
        <v>41</v>
      </c>
      <c r="K118" s="82" t="s">
        <v>44</v>
      </c>
      <c r="L118" s="82" t="s">
        <v>45</v>
      </c>
      <c r="M118" s="82" t="s">
        <v>41</v>
      </c>
      <c r="N118" s="69" t="s">
        <v>41</v>
      </c>
      <c r="O118" s="84"/>
      <c r="P118" s="84" t="s">
        <v>42</v>
      </c>
      <c r="Q118" s="86" t="s">
        <v>707</v>
      </c>
      <c r="R118" s="86" t="s">
        <v>708</v>
      </c>
      <c r="S118" s="86" t="s">
        <v>709</v>
      </c>
      <c r="T118" s="86" t="s">
        <v>710</v>
      </c>
      <c r="U118" s="87">
        <v>0.2</v>
      </c>
      <c r="V118" s="82" t="s">
        <v>43</v>
      </c>
      <c r="W118" s="82" t="s">
        <v>41</v>
      </c>
      <c r="X118" s="82" t="s">
        <v>43</v>
      </c>
      <c r="Y118" s="82" t="s">
        <v>43</v>
      </c>
      <c r="Z118" s="82" t="s">
        <v>208</v>
      </c>
      <c r="AA118" s="82" t="s">
        <v>41</v>
      </c>
    </row>
    <row r="119" spans="1:27" ht="22.5" x14ac:dyDescent="0.15">
      <c r="A119" s="82" t="s">
        <v>711</v>
      </c>
      <c r="B119" s="81" t="s">
        <v>712</v>
      </c>
      <c r="C119" s="81" t="s">
        <v>712</v>
      </c>
      <c r="D119" s="83">
        <v>3660</v>
      </c>
      <c r="E119" s="82" t="s">
        <v>53</v>
      </c>
      <c r="F119" s="82" t="s">
        <v>54</v>
      </c>
      <c r="G119" s="82" t="s">
        <v>132</v>
      </c>
      <c r="H119" s="82" t="s">
        <v>41</v>
      </c>
      <c r="I119" s="82" t="s">
        <v>42</v>
      </c>
      <c r="J119" s="82" t="s">
        <v>43</v>
      </c>
      <c r="K119" s="82" t="s">
        <v>93</v>
      </c>
      <c r="L119" s="82" t="s">
        <v>42</v>
      </c>
      <c r="M119" s="82" t="s">
        <v>41</v>
      </c>
      <c r="N119" s="82" t="s">
        <v>42</v>
      </c>
      <c r="O119" s="82" t="s">
        <v>42</v>
      </c>
      <c r="P119" s="82" t="s">
        <v>41</v>
      </c>
      <c r="Q119" s="86" t="s">
        <v>713</v>
      </c>
      <c r="R119" s="86" t="s">
        <v>714</v>
      </c>
      <c r="S119" s="86" t="s">
        <v>715</v>
      </c>
      <c r="T119" s="86" t="s">
        <v>716</v>
      </c>
      <c r="U119" s="87">
        <v>0.33</v>
      </c>
      <c r="V119" s="82" t="s">
        <v>43</v>
      </c>
      <c r="W119" s="82" t="s">
        <v>43</v>
      </c>
      <c r="X119" s="82" t="s">
        <v>43</v>
      </c>
      <c r="Y119" s="82" t="s">
        <v>43</v>
      </c>
      <c r="Z119" s="82" t="s">
        <v>42</v>
      </c>
      <c r="AA119" s="82" t="s">
        <v>43</v>
      </c>
    </row>
    <row r="120" spans="1:27" ht="22.5" x14ac:dyDescent="0.15">
      <c r="A120" s="82" t="s">
        <v>717</v>
      </c>
      <c r="B120" s="81" t="s">
        <v>718</v>
      </c>
      <c r="C120" s="81" t="s">
        <v>718</v>
      </c>
      <c r="D120" s="83">
        <v>3750</v>
      </c>
      <c r="E120" s="82" t="s">
        <v>72</v>
      </c>
      <c r="F120" s="82" t="s">
        <v>65</v>
      </c>
      <c r="G120" s="82" t="s">
        <v>73</v>
      </c>
      <c r="H120" s="82" t="s">
        <v>41</v>
      </c>
      <c r="I120" s="82" t="s">
        <v>42</v>
      </c>
      <c r="J120" s="82" t="s">
        <v>41</v>
      </c>
      <c r="K120" s="82" t="s">
        <v>44</v>
      </c>
      <c r="L120" s="82" t="s">
        <v>42</v>
      </c>
      <c r="M120" s="82" t="s">
        <v>41</v>
      </c>
      <c r="N120" s="82" t="s">
        <v>42</v>
      </c>
      <c r="O120" s="82" t="s">
        <v>42</v>
      </c>
      <c r="P120" s="82" t="s">
        <v>42</v>
      </c>
      <c r="Q120" s="86" t="s">
        <v>719</v>
      </c>
      <c r="R120" s="86" t="s">
        <v>720</v>
      </c>
      <c r="S120" s="86" t="s">
        <v>721</v>
      </c>
      <c r="T120" s="86" t="s">
        <v>722</v>
      </c>
      <c r="U120" s="87">
        <v>0.08</v>
      </c>
      <c r="V120" s="82" t="s">
        <v>43</v>
      </c>
      <c r="W120" s="82" t="s">
        <v>41</v>
      </c>
      <c r="X120" s="82" t="s">
        <v>41</v>
      </c>
      <c r="Y120" s="82" t="s">
        <v>43</v>
      </c>
      <c r="Z120" s="82" t="s">
        <v>208</v>
      </c>
      <c r="AA120" s="82" t="s">
        <v>43</v>
      </c>
    </row>
    <row r="121" spans="1:27" ht="56.25" x14ac:dyDescent="0.15">
      <c r="A121" s="82" t="s">
        <v>723</v>
      </c>
      <c r="B121" s="81" t="s">
        <v>724</v>
      </c>
      <c r="C121" s="81" t="s">
        <v>267</v>
      </c>
      <c r="D121" s="83" t="s">
        <v>725</v>
      </c>
      <c r="E121" s="82" t="s">
        <v>215</v>
      </c>
      <c r="F121" s="82" t="s">
        <v>269</v>
      </c>
      <c r="G121" s="82" t="s">
        <v>270</v>
      </c>
      <c r="H121" s="82" t="s">
        <v>43</v>
      </c>
      <c r="I121" s="82" t="s">
        <v>271</v>
      </c>
      <c r="J121" s="82" t="s">
        <v>43</v>
      </c>
      <c r="K121" s="82" t="s">
        <v>56</v>
      </c>
      <c r="L121" s="82" t="s">
        <v>42</v>
      </c>
      <c r="M121" s="82" t="s">
        <v>43</v>
      </c>
      <c r="N121" s="82" t="s">
        <v>42</v>
      </c>
      <c r="O121" s="82" t="s">
        <v>42</v>
      </c>
      <c r="P121" s="82" t="s">
        <v>42</v>
      </c>
      <c r="Q121" s="86">
        <v>0</v>
      </c>
      <c r="R121" s="86">
        <v>0</v>
      </c>
      <c r="S121" s="86">
        <v>0</v>
      </c>
      <c r="T121" s="86">
        <v>0</v>
      </c>
      <c r="U121" s="88"/>
      <c r="V121" s="82" t="s">
        <v>43</v>
      </c>
      <c r="W121" s="82" t="s">
        <v>43</v>
      </c>
      <c r="X121" s="82" t="s">
        <v>43</v>
      </c>
      <c r="Y121" s="82" t="s">
        <v>41</v>
      </c>
      <c r="Z121" s="82" t="s">
        <v>42</v>
      </c>
      <c r="AA121" s="82" t="s">
        <v>43</v>
      </c>
    </row>
    <row r="122" spans="1:27" ht="33.75" x14ac:dyDescent="0.15">
      <c r="A122" s="82" t="s">
        <v>726</v>
      </c>
      <c r="B122" s="81" t="s">
        <v>727</v>
      </c>
      <c r="C122" s="81" t="s">
        <v>727</v>
      </c>
      <c r="D122" s="83">
        <v>6830</v>
      </c>
      <c r="E122" s="82" t="s">
        <v>145</v>
      </c>
      <c r="F122" s="82" t="s">
        <v>65</v>
      </c>
      <c r="G122" s="82" t="s">
        <v>73</v>
      </c>
      <c r="H122" s="82" t="s">
        <v>41</v>
      </c>
      <c r="I122" s="82" t="s">
        <v>42</v>
      </c>
      <c r="J122" s="82" t="s">
        <v>43</v>
      </c>
      <c r="K122" s="82" t="s">
        <v>74</v>
      </c>
      <c r="L122" s="82" t="s">
        <v>203</v>
      </c>
      <c r="M122" s="82" t="s">
        <v>43</v>
      </c>
      <c r="N122" s="82" t="s">
        <v>42</v>
      </c>
      <c r="O122" s="82" t="s">
        <v>42</v>
      </c>
      <c r="P122" s="82" t="s">
        <v>42</v>
      </c>
      <c r="Q122" s="86">
        <v>43.15</v>
      </c>
      <c r="R122" s="86">
        <v>999.46500000000003</v>
      </c>
      <c r="S122" s="86" t="s">
        <v>728</v>
      </c>
      <c r="T122" s="86" t="s">
        <v>729</v>
      </c>
      <c r="U122" s="87">
        <v>0.02</v>
      </c>
      <c r="V122" s="82" t="s">
        <v>43</v>
      </c>
      <c r="W122" s="82" t="s">
        <v>43</v>
      </c>
      <c r="X122" s="82" t="s">
        <v>43</v>
      </c>
      <c r="Y122" s="82" t="s">
        <v>41</v>
      </c>
      <c r="Z122" s="82" t="s">
        <v>79</v>
      </c>
      <c r="AA122" s="82" t="s">
        <v>43</v>
      </c>
    </row>
    <row r="123" spans="1:27" ht="56.25" x14ac:dyDescent="0.15">
      <c r="A123" s="89" t="s">
        <v>730</v>
      </c>
      <c r="B123" s="89" t="s">
        <v>115</v>
      </c>
      <c r="C123" s="89" t="s">
        <v>115</v>
      </c>
      <c r="D123" s="90" t="s">
        <v>731</v>
      </c>
      <c r="E123" s="89" t="s">
        <v>64</v>
      </c>
      <c r="F123" s="89" t="s">
        <v>39</v>
      </c>
      <c r="G123" s="89" t="s">
        <v>104</v>
      </c>
      <c r="H123" s="82" t="s">
        <v>41</v>
      </c>
      <c r="I123" s="82" t="s">
        <v>117</v>
      </c>
      <c r="J123" s="89" t="s">
        <v>43</v>
      </c>
      <c r="K123" s="82" t="s">
        <v>93</v>
      </c>
      <c r="L123" s="89" t="s">
        <v>42</v>
      </c>
      <c r="M123" s="89" t="s">
        <v>43</v>
      </c>
      <c r="N123" s="89" t="s">
        <v>42</v>
      </c>
      <c r="O123" s="82" t="s">
        <v>42</v>
      </c>
      <c r="P123" s="82" t="s">
        <v>42</v>
      </c>
      <c r="Q123" s="86">
        <v>7</v>
      </c>
      <c r="R123" s="86" t="s">
        <v>732</v>
      </c>
      <c r="S123" s="86" t="s">
        <v>733</v>
      </c>
      <c r="T123" s="86" t="s">
        <v>734</v>
      </c>
      <c r="U123" s="87">
        <v>0</v>
      </c>
      <c r="V123" s="82" t="s">
        <v>43</v>
      </c>
      <c r="W123" s="89" t="s">
        <v>43</v>
      </c>
      <c r="X123" s="89" t="s">
        <v>43</v>
      </c>
      <c r="Y123" s="89" t="s">
        <v>43</v>
      </c>
      <c r="Z123" s="89" t="s">
        <v>42</v>
      </c>
      <c r="AA123" s="89" t="s">
        <v>43</v>
      </c>
    </row>
    <row r="124" spans="1:27" ht="33.75" x14ac:dyDescent="0.15">
      <c r="A124" s="82" t="s">
        <v>735</v>
      </c>
      <c r="B124" s="81" t="s">
        <v>736</v>
      </c>
      <c r="C124" s="81" t="s">
        <v>736</v>
      </c>
      <c r="D124" s="83">
        <v>3810</v>
      </c>
      <c r="E124" s="82" t="s">
        <v>145</v>
      </c>
      <c r="F124" s="82" t="s">
        <v>65</v>
      </c>
      <c r="G124" s="82" t="s">
        <v>73</v>
      </c>
      <c r="H124" s="82" t="s">
        <v>41</v>
      </c>
      <c r="I124" s="82" t="s">
        <v>42</v>
      </c>
      <c r="J124" s="82" t="s">
        <v>43</v>
      </c>
      <c r="K124" s="82" t="s">
        <v>74</v>
      </c>
      <c r="L124" s="82" t="s">
        <v>42</v>
      </c>
      <c r="M124" s="82" t="s">
        <v>41</v>
      </c>
      <c r="N124" s="82" t="s">
        <v>42</v>
      </c>
      <c r="O124" s="82" t="s">
        <v>42</v>
      </c>
      <c r="P124" s="82" t="s">
        <v>42</v>
      </c>
      <c r="Q124" s="86">
        <v>356.827</v>
      </c>
      <c r="R124" s="86" t="s">
        <v>737</v>
      </c>
      <c r="S124" s="86" t="s">
        <v>738</v>
      </c>
      <c r="T124" s="86" t="s">
        <v>739</v>
      </c>
      <c r="U124" s="87">
        <v>0.03</v>
      </c>
      <c r="V124" s="82" t="s">
        <v>43</v>
      </c>
      <c r="W124" s="82" t="s">
        <v>41</v>
      </c>
      <c r="X124" s="82" t="s">
        <v>43</v>
      </c>
      <c r="Y124" s="82" t="s">
        <v>43</v>
      </c>
      <c r="Z124" s="82" t="s">
        <v>150</v>
      </c>
      <c r="AA124" s="82" t="s">
        <v>43</v>
      </c>
    </row>
    <row r="125" spans="1:27" ht="33.75" x14ac:dyDescent="0.15">
      <c r="A125" s="82" t="s">
        <v>740</v>
      </c>
      <c r="B125" s="81" t="s">
        <v>741</v>
      </c>
      <c r="C125" s="81" t="s">
        <v>741</v>
      </c>
      <c r="D125" s="83">
        <v>8970</v>
      </c>
      <c r="E125" s="82" t="s">
        <v>53</v>
      </c>
      <c r="F125" s="82" t="s">
        <v>54</v>
      </c>
      <c r="G125" s="82" t="s">
        <v>55</v>
      </c>
      <c r="H125" s="82" t="s">
        <v>41</v>
      </c>
      <c r="I125" s="82" t="s">
        <v>42</v>
      </c>
      <c r="J125" s="82" t="s">
        <v>43</v>
      </c>
      <c r="K125" s="82" t="s">
        <v>56</v>
      </c>
      <c r="L125" s="82" t="s">
        <v>42</v>
      </c>
      <c r="M125" s="82" t="s">
        <v>41</v>
      </c>
      <c r="N125" s="82" t="s">
        <v>42</v>
      </c>
      <c r="O125" s="82" t="s">
        <v>42</v>
      </c>
      <c r="P125" s="82" t="s">
        <v>42</v>
      </c>
      <c r="Q125" s="86">
        <v>561.21600000000001</v>
      </c>
      <c r="R125" s="86" t="s">
        <v>742</v>
      </c>
      <c r="S125" s="86" t="s">
        <v>743</v>
      </c>
      <c r="T125" s="86" t="s">
        <v>744</v>
      </c>
      <c r="U125" s="87">
        <v>0.1</v>
      </c>
      <c r="V125" s="82" t="s">
        <v>43</v>
      </c>
      <c r="W125" s="82" t="s">
        <v>43</v>
      </c>
      <c r="X125" s="82" t="s">
        <v>43</v>
      </c>
      <c r="Y125" s="82" t="s">
        <v>43</v>
      </c>
      <c r="Z125" s="82" t="s">
        <v>42</v>
      </c>
      <c r="AA125" s="82" t="s">
        <v>43</v>
      </c>
    </row>
    <row r="126" spans="1:27" ht="22.5" x14ac:dyDescent="0.15">
      <c r="A126" s="82" t="s">
        <v>745</v>
      </c>
      <c r="B126" s="81" t="s">
        <v>746</v>
      </c>
      <c r="C126" s="81" t="s">
        <v>746</v>
      </c>
      <c r="D126" s="83">
        <v>3900</v>
      </c>
      <c r="E126" s="82" t="s">
        <v>145</v>
      </c>
      <c r="F126" s="82" t="s">
        <v>65</v>
      </c>
      <c r="G126" s="82" t="s">
        <v>73</v>
      </c>
      <c r="H126" s="82" t="s">
        <v>41</v>
      </c>
      <c r="I126" s="82" t="s">
        <v>42</v>
      </c>
      <c r="J126" s="82" t="s">
        <v>43</v>
      </c>
      <c r="K126" s="82" t="s">
        <v>44</v>
      </c>
      <c r="L126" s="82" t="s">
        <v>42</v>
      </c>
      <c r="M126" s="82" t="s">
        <v>41</v>
      </c>
      <c r="N126" s="82" t="s">
        <v>42</v>
      </c>
      <c r="O126" s="82" t="s">
        <v>42</v>
      </c>
      <c r="P126" s="82" t="s">
        <v>42</v>
      </c>
      <c r="Q126" s="86" t="s">
        <v>747</v>
      </c>
      <c r="R126" s="86" t="s">
        <v>748</v>
      </c>
      <c r="S126" s="86" t="s">
        <v>749</v>
      </c>
      <c r="T126" s="86" t="s">
        <v>750</v>
      </c>
      <c r="U126" s="87">
        <v>0.09</v>
      </c>
      <c r="V126" s="82" t="s">
        <v>43</v>
      </c>
      <c r="W126" s="82" t="s">
        <v>41</v>
      </c>
      <c r="X126" s="82" t="s">
        <v>43</v>
      </c>
      <c r="Y126" s="82" t="s">
        <v>43</v>
      </c>
      <c r="Z126" s="82" t="s">
        <v>150</v>
      </c>
      <c r="AA126" s="82" t="s">
        <v>43</v>
      </c>
    </row>
    <row r="127" spans="1:27" ht="56.25" x14ac:dyDescent="0.15">
      <c r="A127" s="82" t="s">
        <v>751</v>
      </c>
      <c r="B127" s="81" t="s">
        <v>752</v>
      </c>
      <c r="C127" s="81" t="s">
        <v>267</v>
      </c>
      <c r="D127" s="83" t="s">
        <v>753</v>
      </c>
      <c r="E127" s="82" t="s">
        <v>215</v>
      </c>
      <c r="F127" s="82" t="s">
        <v>269</v>
      </c>
      <c r="G127" s="82" t="s">
        <v>362</v>
      </c>
      <c r="H127" s="82" t="s">
        <v>43</v>
      </c>
      <c r="I127" s="82" t="s">
        <v>271</v>
      </c>
      <c r="J127" s="82" t="s">
        <v>43</v>
      </c>
      <c r="K127" s="82" t="s">
        <v>74</v>
      </c>
      <c r="L127" s="82" t="s">
        <v>203</v>
      </c>
      <c r="M127" s="82" t="s">
        <v>43</v>
      </c>
      <c r="N127" s="82" t="s">
        <v>42</v>
      </c>
      <c r="O127" s="82" t="s">
        <v>42</v>
      </c>
      <c r="P127" s="82" t="s">
        <v>42</v>
      </c>
      <c r="Q127" s="86">
        <v>0</v>
      </c>
      <c r="R127" s="86">
        <v>0</v>
      </c>
      <c r="S127" s="86">
        <v>0</v>
      </c>
      <c r="T127" s="86">
        <v>0</v>
      </c>
      <c r="U127" s="88"/>
      <c r="V127" s="82" t="s">
        <v>43</v>
      </c>
      <c r="W127" s="82" t="s">
        <v>41</v>
      </c>
      <c r="X127" s="82" t="s">
        <v>43</v>
      </c>
      <c r="Y127" s="82" t="s">
        <v>41</v>
      </c>
      <c r="Z127" s="82" t="s">
        <v>42</v>
      </c>
      <c r="AA127" s="82" t="s">
        <v>43</v>
      </c>
    </row>
    <row r="128" spans="1:27" ht="22.5" x14ac:dyDescent="0.15">
      <c r="A128" s="82" t="s">
        <v>754</v>
      </c>
      <c r="B128" s="81" t="s">
        <v>755</v>
      </c>
      <c r="C128" s="81" t="s">
        <v>755</v>
      </c>
      <c r="D128" s="83">
        <v>3920</v>
      </c>
      <c r="E128" s="82" t="s">
        <v>72</v>
      </c>
      <c r="F128" s="82" t="s">
        <v>65</v>
      </c>
      <c r="G128" s="82" t="s">
        <v>73</v>
      </c>
      <c r="H128" s="82" t="s">
        <v>41</v>
      </c>
      <c r="I128" s="82" t="s">
        <v>42</v>
      </c>
      <c r="J128" s="82" t="s">
        <v>43</v>
      </c>
      <c r="K128" s="82" t="s">
        <v>44</v>
      </c>
      <c r="L128" s="82" t="s">
        <v>45</v>
      </c>
      <c r="M128" s="82" t="s">
        <v>41</v>
      </c>
      <c r="N128" s="69" t="s">
        <v>41</v>
      </c>
      <c r="O128" s="84"/>
      <c r="P128" s="84" t="s">
        <v>42</v>
      </c>
      <c r="Q128" s="86" t="s">
        <v>756</v>
      </c>
      <c r="R128" s="86" t="s">
        <v>757</v>
      </c>
      <c r="S128" s="86" t="s">
        <v>758</v>
      </c>
      <c r="T128" s="86" t="s">
        <v>759</v>
      </c>
      <c r="U128" s="87">
        <v>0.26</v>
      </c>
      <c r="V128" s="82" t="s">
        <v>41</v>
      </c>
      <c r="W128" s="82" t="s">
        <v>41</v>
      </c>
      <c r="X128" s="82" t="s">
        <v>43</v>
      </c>
      <c r="Y128" s="82" t="s">
        <v>43</v>
      </c>
      <c r="Z128" s="82" t="s">
        <v>208</v>
      </c>
      <c r="AA128" s="82" t="s">
        <v>41</v>
      </c>
    </row>
    <row r="129" spans="1:27" ht="33.75" x14ac:dyDescent="0.15">
      <c r="A129" s="82" t="s">
        <v>760</v>
      </c>
      <c r="B129" s="81" t="s">
        <v>761</v>
      </c>
      <c r="C129" s="81" t="s">
        <v>761</v>
      </c>
      <c r="D129" s="83">
        <v>3930</v>
      </c>
      <c r="E129" s="82" t="s">
        <v>72</v>
      </c>
      <c r="F129" s="82" t="s">
        <v>65</v>
      </c>
      <c r="G129" s="82" t="s">
        <v>73</v>
      </c>
      <c r="H129" s="82" t="s">
        <v>41</v>
      </c>
      <c r="I129" s="82" t="s">
        <v>42</v>
      </c>
      <c r="J129" s="82" t="s">
        <v>41</v>
      </c>
      <c r="K129" s="82" t="s">
        <v>56</v>
      </c>
      <c r="L129" s="82" t="s">
        <v>42</v>
      </c>
      <c r="M129" s="82" t="s">
        <v>43</v>
      </c>
      <c r="N129" s="82" t="s">
        <v>42</v>
      </c>
      <c r="O129" s="82" t="s">
        <v>42</v>
      </c>
      <c r="P129" s="82" t="s">
        <v>42</v>
      </c>
      <c r="Q129" s="86">
        <v>351.96899999999999</v>
      </c>
      <c r="R129" s="86" t="s">
        <v>762</v>
      </c>
      <c r="S129" s="86" t="s">
        <v>763</v>
      </c>
      <c r="T129" s="86" t="s">
        <v>764</v>
      </c>
      <c r="U129" s="87">
        <v>0.03</v>
      </c>
      <c r="V129" s="82" t="s">
        <v>43</v>
      </c>
      <c r="W129" s="82" t="s">
        <v>43</v>
      </c>
      <c r="X129" s="82" t="s">
        <v>43</v>
      </c>
      <c r="Y129" s="82" t="s">
        <v>43</v>
      </c>
      <c r="Z129" s="82" t="s">
        <v>176</v>
      </c>
      <c r="AA129" s="82" t="s">
        <v>43</v>
      </c>
    </row>
    <row r="130" spans="1:27" ht="22.5" x14ac:dyDescent="0.15">
      <c r="A130" s="82" t="s">
        <v>765</v>
      </c>
      <c r="B130" s="81" t="s">
        <v>766</v>
      </c>
      <c r="C130" s="81" t="s">
        <v>766</v>
      </c>
      <c r="D130" s="83">
        <v>4040</v>
      </c>
      <c r="E130" s="82" t="s">
        <v>72</v>
      </c>
      <c r="F130" s="82" t="s">
        <v>65</v>
      </c>
      <c r="G130" s="82" t="s">
        <v>73</v>
      </c>
      <c r="H130" s="82" t="s">
        <v>41</v>
      </c>
      <c r="I130" s="82" t="s">
        <v>42</v>
      </c>
      <c r="J130" s="82" t="s">
        <v>43</v>
      </c>
      <c r="K130" s="82" t="s">
        <v>44</v>
      </c>
      <c r="L130" s="82" t="s">
        <v>45</v>
      </c>
      <c r="M130" s="82" t="s">
        <v>41</v>
      </c>
      <c r="N130" s="69" t="s">
        <v>41</v>
      </c>
      <c r="O130" s="84"/>
      <c r="P130" s="84" t="s">
        <v>42</v>
      </c>
      <c r="Q130" s="86" t="s">
        <v>767</v>
      </c>
      <c r="R130" s="86" t="s">
        <v>768</v>
      </c>
      <c r="S130" s="86" t="s">
        <v>769</v>
      </c>
      <c r="T130" s="86" t="s">
        <v>770</v>
      </c>
      <c r="U130" s="87">
        <v>0.27</v>
      </c>
      <c r="V130" s="82" t="s">
        <v>41</v>
      </c>
      <c r="W130" s="82" t="s">
        <v>41</v>
      </c>
      <c r="X130" s="82" t="s">
        <v>41</v>
      </c>
      <c r="Y130" s="82" t="s">
        <v>43</v>
      </c>
      <c r="Z130" s="82" t="s">
        <v>208</v>
      </c>
      <c r="AA130" s="82" t="s">
        <v>41</v>
      </c>
    </row>
    <row r="131" spans="1:27" ht="33.75" x14ac:dyDescent="0.15">
      <c r="A131" s="82" t="s">
        <v>771</v>
      </c>
      <c r="B131" s="81" t="s">
        <v>772</v>
      </c>
      <c r="C131" s="81" t="s">
        <v>772</v>
      </c>
      <c r="D131" s="83" t="s">
        <v>773</v>
      </c>
      <c r="E131" s="82" t="s">
        <v>38</v>
      </c>
      <c r="F131" s="82" t="s">
        <v>39</v>
      </c>
      <c r="G131" s="82" t="s">
        <v>40</v>
      </c>
      <c r="H131" s="82" t="s">
        <v>41</v>
      </c>
      <c r="I131" s="82" t="s">
        <v>42</v>
      </c>
      <c r="J131" s="82" t="s">
        <v>43</v>
      </c>
      <c r="K131" s="82" t="s">
        <v>74</v>
      </c>
      <c r="L131" s="82" t="s">
        <v>42</v>
      </c>
      <c r="M131" s="82" t="s">
        <v>41</v>
      </c>
      <c r="N131" s="82" t="s">
        <v>42</v>
      </c>
      <c r="O131" s="82" t="s">
        <v>42</v>
      </c>
      <c r="P131" s="82" t="s">
        <v>42</v>
      </c>
      <c r="Q131" s="86" t="s">
        <v>774</v>
      </c>
      <c r="R131" s="86" t="s">
        <v>775</v>
      </c>
      <c r="S131" s="86" t="s">
        <v>776</v>
      </c>
      <c r="T131" s="86" t="s">
        <v>777</v>
      </c>
      <c r="U131" s="87">
        <v>0.16</v>
      </c>
      <c r="V131" s="82" t="s">
        <v>43</v>
      </c>
      <c r="W131" s="82" t="s">
        <v>43</v>
      </c>
      <c r="X131" s="82" t="s">
        <v>43</v>
      </c>
      <c r="Y131" s="82" t="s">
        <v>43</v>
      </c>
      <c r="Z131" s="82" t="s">
        <v>42</v>
      </c>
      <c r="AA131" s="82" t="s">
        <v>43</v>
      </c>
    </row>
    <row r="132" spans="1:27" ht="56.25" x14ac:dyDescent="0.15">
      <c r="A132" s="82" t="s">
        <v>778</v>
      </c>
      <c r="B132" s="81" t="s">
        <v>779</v>
      </c>
      <c r="C132" s="81" t="s">
        <v>82</v>
      </c>
      <c r="D132" s="83" t="s">
        <v>780</v>
      </c>
      <c r="E132" s="82" t="s">
        <v>84</v>
      </c>
      <c r="F132" s="82" t="s">
        <v>85</v>
      </c>
      <c r="G132" s="82" t="s">
        <v>86</v>
      </c>
      <c r="H132" s="82" t="s">
        <v>43</v>
      </c>
      <c r="I132" s="82" t="s">
        <v>87</v>
      </c>
      <c r="J132" s="82" t="s">
        <v>43</v>
      </c>
      <c r="K132" s="82" t="s">
        <v>93</v>
      </c>
      <c r="L132" s="82" t="s">
        <v>42</v>
      </c>
      <c r="M132" s="82" t="s">
        <v>43</v>
      </c>
      <c r="N132" s="82" t="s">
        <v>42</v>
      </c>
      <c r="O132" s="82" t="s">
        <v>42</v>
      </c>
      <c r="P132" s="82" t="s">
        <v>42</v>
      </c>
      <c r="Q132" s="86">
        <v>0</v>
      </c>
      <c r="R132" s="86">
        <v>0</v>
      </c>
      <c r="S132" s="86">
        <v>0</v>
      </c>
      <c r="T132" s="86">
        <v>0</v>
      </c>
      <c r="U132" s="88"/>
      <c r="V132" s="82" t="s">
        <v>43</v>
      </c>
      <c r="W132" s="82" t="s">
        <v>43</v>
      </c>
      <c r="X132" s="82" t="s">
        <v>43</v>
      </c>
      <c r="Y132" s="82" t="s">
        <v>41</v>
      </c>
      <c r="Z132" s="82" t="s">
        <v>89</v>
      </c>
      <c r="AA132" s="82" t="s">
        <v>43</v>
      </c>
    </row>
    <row r="133" spans="1:27" ht="56.25" x14ac:dyDescent="0.15">
      <c r="A133" s="82" t="s">
        <v>781</v>
      </c>
      <c r="B133" s="81" t="s">
        <v>782</v>
      </c>
      <c r="C133" s="81" t="s">
        <v>82</v>
      </c>
      <c r="D133" s="83" t="s">
        <v>783</v>
      </c>
      <c r="E133" s="82" t="s">
        <v>84</v>
      </c>
      <c r="F133" s="82" t="s">
        <v>85</v>
      </c>
      <c r="G133" s="82" t="s">
        <v>86</v>
      </c>
      <c r="H133" s="82" t="s">
        <v>43</v>
      </c>
      <c r="I133" s="82" t="s">
        <v>87</v>
      </c>
      <c r="J133" s="82" t="s">
        <v>43</v>
      </c>
      <c r="K133" s="82" t="s">
        <v>56</v>
      </c>
      <c r="L133" s="82" t="s">
        <v>42</v>
      </c>
      <c r="M133" s="82" t="s">
        <v>43</v>
      </c>
      <c r="N133" s="82" t="s">
        <v>42</v>
      </c>
      <c r="O133" s="82" t="s">
        <v>42</v>
      </c>
      <c r="P133" s="82" t="s">
        <v>42</v>
      </c>
      <c r="Q133" s="86">
        <v>0</v>
      </c>
      <c r="R133" s="86">
        <v>0</v>
      </c>
      <c r="S133" s="86">
        <v>0</v>
      </c>
      <c r="T133" s="86">
        <v>0</v>
      </c>
      <c r="U133" s="88"/>
      <c r="V133" s="82" t="s">
        <v>43</v>
      </c>
      <c r="W133" s="82" t="s">
        <v>43</v>
      </c>
      <c r="X133" s="82" t="s">
        <v>43</v>
      </c>
      <c r="Y133" s="82" t="s">
        <v>41</v>
      </c>
      <c r="Z133" s="82" t="s">
        <v>89</v>
      </c>
      <c r="AA133" s="82" t="s">
        <v>43</v>
      </c>
    </row>
    <row r="134" spans="1:27" ht="56.25" x14ac:dyDescent="0.15">
      <c r="A134" s="82" t="s">
        <v>784</v>
      </c>
      <c r="B134" s="81" t="s">
        <v>785</v>
      </c>
      <c r="C134" s="81" t="s">
        <v>82</v>
      </c>
      <c r="D134" s="83" t="s">
        <v>786</v>
      </c>
      <c r="E134" s="82" t="s">
        <v>84</v>
      </c>
      <c r="F134" s="82" t="s">
        <v>85</v>
      </c>
      <c r="G134" s="82" t="s">
        <v>86</v>
      </c>
      <c r="H134" s="82" t="s">
        <v>43</v>
      </c>
      <c r="I134" s="82" t="s">
        <v>87</v>
      </c>
      <c r="J134" s="82" t="s">
        <v>43</v>
      </c>
      <c r="K134" s="82" t="s">
        <v>56</v>
      </c>
      <c r="L134" s="82" t="s">
        <v>42</v>
      </c>
      <c r="M134" s="82" t="s">
        <v>43</v>
      </c>
      <c r="N134" s="82" t="s">
        <v>42</v>
      </c>
      <c r="O134" s="82" t="s">
        <v>42</v>
      </c>
      <c r="P134" s="82" t="s">
        <v>42</v>
      </c>
      <c r="Q134" s="86">
        <v>0</v>
      </c>
      <c r="R134" s="86">
        <v>0</v>
      </c>
      <c r="S134" s="86">
        <v>0</v>
      </c>
      <c r="T134" s="86">
        <v>0</v>
      </c>
      <c r="U134" s="88"/>
      <c r="V134" s="82" t="s">
        <v>43</v>
      </c>
      <c r="W134" s="82" t="s">
        <v>43</v>
      </c>
      <c r="X134" s="82" t="s">
        <v>43</v>
      </c>
      <c r="Y134" s="82" t="s">
        <v>41</v>
      </c>
      <c r="Z134" s="82" t="s">
        <v>89</v>
      </c>
      <c r="AA134" s="82" t="s">
        <v>43</v>
      </c>
    </row>
    <row r="135" spans="1:27" s="73" customFormat="1" ht="22.5" x14ac:dyDescent="0.15">
      <c r="A135" s="82" t="s">
        <v>787</v>
      </c>
      <c r="B135" s="81" t="s">
        <v>788</v>
      </c>
      <c r="C135" s="81" t="s">
        <v>788</v>
      </c>
      <c r="D135" s="83">
        <v>4020</v>
      </c>
      <c r="E135" s="82" t="s">
        <v>64</v>
      </c>
      <c r="F135" s="82" t="s">
        <v>65</v>
      </c>
      <c r="G135" s="82" t="s">
        <v>66</v>
      </c>
      <c r="H135" s="82" t="s">
        <v>41</v>
      </c>
      <c r="I135" s="82" t="s">
        <v>42</v>
      </c>
      <c r="J135" s="82" t="s">
        <v>43</v>
      </c>
      <c r="K135" s="82" t="s">
        <v>44</v>
      </c>
      <c r="L135" s="82" t="s">
        <v>45</v>
      </c>
      <c r="M135" s="82" t="s">
        <v>41</v>
      </c>
      <c r="N135" s="69" t="s">
        <v>41</v>
      </c>
      <c r="O135" s="84"/>
      <c r="P135" s="84" t="s">
        <v>42</v>
      </c>
      <c r="Q135" s="86" t="s">
        <v>789</v>
      </c>
      <c r="R135" s="86" t="s">
        <v>790</v>
      </c>
      <c r="S135" s="86" t="s">
        <v>791</v>
      </c>
      <c r="T135" s="86" t="s">
        <v>792</v>
      </c>
      <c r="U135" s="87">
        <v>0.41</v>
      </c>
      <c r="V135" s="82" t="s">
        <v>41</v>
      </c>
      <c r="W135" s="82" t="s">
        <v>41</v>
      </c>
      <c r="X135" s="82" t="s">
        <v>43</v>
      </c>
      <c r="Y135" s="82" t="s">
        <v>43</v>
      </c>
      <c r="Z135" s="82" t="s">
        <v>42</v>
      </c>
      <c r="AA135" s="82" t="s">
        <v>41</v>
      </c>
    </row>
    <row r="136" spans="1:27" ht="56.25" x14ac:dyDescent="0.15">
      <c r="A136" s="82" t="s">
        <v>793</v>
      </c>
      <c r="B136" s="81" t="s">
        <v>794</v>
      </c>
      <c r="C136" s="81" t="s">
        <v>413</v>
      </c>
      <c r="D136" s="83" t="s">
        <v>795</v>
      </c>
      <c r="E136" s="82" t="s">
        <v>84</v>
      </c>
      <c r="F136" s="82" t="s">
        <v>85</v>
      </c>
      <c r="G136" s="82" t="s">
        <v>86</v>
      </c>
      <c r="H136" s="82" t="s">
        <v>43</v>
      </c>
      <c r="I136" s="82" t="s">
        <v>415</v>
      </c>
      <c r="J136" s="82" t="s">
        <v>43</v>
      </c>
      <c r="K136" s="82" t="s">
        <v>56</v>
      </c>
      <c r="L136" s="82" t="s">
        <v>42</v>
      </c>
      <c r="M136" s="82" t="s">
        <v>43</v>
      </c>
      <c r="N136" s="82" t="s">
        <v>42</v>
      </c>
      <c r="O136" s="82" t="s">
        <v>42</v>
      </c>
      <c r="P136" s="82" t="s">
        <v>42</v>
      </c>
      <c r="Q136" s="86">
        <v>0</v>
      </c>
      <c r="R136" s="86">
        <v>0</v>
      </c>
      <c r="S136" s="86">
        <v>0</v>
      </c>
      <c r="T136" s="86">
        <v>0</v>
      </c>
      <c r="U136" s="88"/>
      <c r="V136" s="82" t="s">
        <v>43</v>
      </c>
      <c r="W136" s="82" t="s">
        <v>43</v>
      </c>
      <c r="X136" s="82" t="s">
        <v>43</v>
      </c>
      <c r="Y136" s="82" t="s">
        <v>41</v>
      </c>
      <c r="Z136" s="82" t="s">
        <v>100</v>
      </c>
      <c r="AA136" s="82" t="s">
        <v>43</v>
      </c>
    </row>
    <row r="137" spans="1:27" x14ac:dyDescent="0.15">
      <c r="A137" s="82" t="s">
        <v>796</v>
      </c>
      <c r="B137" s="81" t="s">
        <v>797</v>
      </c>
      <c r="C137" s="81" t="s">
        <v>797</v>
      </c>
      <c r="D137" s="83">
        <v>4140</v>
      </c>
      <c r="E137" s="82" t="s">
        <v>64</v>
      </c>
      <c r="F137" s="82" t="s">
        <v>39</v>
      </c>
      <c r="G137" s="82" t="s">
        <v>104</v>
      </c>
      <c r="H137" s="82" t="s">
        <v>41</v>
      </c>
      <c r="I137" s="82" t="s">
        <v>42</v>
      </c>
      <c r="J137" s="82" t="s">
        <v>43</v>
      </c>
      <c r="K137" s="82" t="s">
        <v>44</v>
      </c>
      <c r="L137" s="82" t="s">
        <v>45</v>
      </c>
      <c r="M137" s="82" t="s">
        <v>41</v>
      </c>
      <c r="N137" s="69" t="s">
        <v>41</v>
      </c>
      <c r="O137" s="84"/>
      <c r="P137" s="84" t="s">
        <v>42</v>
      </c>
      <c r="Q137" s="86" t="s">
        <v>798</v>
      </c>
      <c r="R137" s="86" t="s">
        <v>799</v>
      </c>
      <c r="S137" s="86" t="s">
        <v>800</v>
      </c>
      <c r="T137" s="86" t="s">
        <v>801</v>
      </c>
      <c r="U137" s="72">
        <v>0.69</v>
      </c>
      <c r="V137" s="82" t="s">
        <v>43</v>
      </c>
      <c r="W137" s="82" t="s">
        <v>43</v>
      </c>
      <c r="X137" s="82" t="s">
        <v>43</v>
      </c>
      <c r="Y137" s="82" t="s">
        <v>43</v>
      </c>
      <c r="Z137" s="82" t="s">
        <v>42</v>
      </c>
      <c r="AA137" s="82" t="s">
        <v>43</v>
      </c>
    </row>
    <row r="138" spans="1:27" ht="33.75" x14ac:dyDescent="0.15">
      <c r="A138" s="82" t="s">
        <v>802</v>
      </c>
      <c r="B138" s="81" t="s">
        <v>803</v>
      </c>
      <c r="C138" s="81" t="s">
        <v>803</v>
      </c>
      <c r="D138" s="83">
        <v>4150</v>
      </c>
      <c r="E138" s="82" t="s">
        <v>53</v>
      </c>
      <c r="F138" s="82" t="s">
        <v>39</v>
      </c>
      <c r="G138" s="82" t="s">
        <v>467</v>
      </c>
      <c r="H138" s="82" t="s">
        <v>41</v>
      </c>
      <c r="I138" s="82" t="s">
        <v>42</v>
      </c>
      <c r="J138" s="82" t="s">
        <v>43</v>
      </c>
      <c r="K138" s="82" t="s">
        <v>74</v>
      </c>
      <c r="L138" s="82" t="s">
        <v>42</v>
      </c>
      <c r="M138" s="82" t="s">
        <v>41</v>
      </c>
      <c r="N138" s="82" t="s">
        <v>42</v>
      </c>
      <c r="O138" s="82" t="s">
        <v>42</v>
      </c>
      <c r="P138" s="82" t="s">
        <v>42</v>
      </c>
      <c r="Q138" s="86">
        <v>652.18700000000001</v>
      </c>
      <c r="R138" s="86" t="s">
        <v>804</v>
      </c>
      <c r="S138" s="86" t="s">
        <v>805</v>
      </c>
      <c r="T138" s="86" t="s">
        <v>806</v>
      </c>
      <c r="U138" s="87">
        <v>0.03</v>
      </c>
      <c r="V138" s="82" t="s">
        <v>43</v>
      </c>
      <c r="W138" s="82" t="s">
        <v>43</v>
      </c>
      <c r="X138" s="82" t="s">
        <v>41</v>
      </c>
      <c r="Y138" s="82" t="s">
        <v>43</v>
      </c>
      <c r="Z138" s="82" t="s">
        <v>42</v>
      </c>
      <c r="AA138" s="82" t="s">
        <v>43</v>
      </c>
    </row>
    <row r="139" spans="1:27" ht="33.75" x14ac:dyDescent="0.15">
      <c r="A139" s="82" t="s">
        <v>807</v>
      </c>
      <c r="B139" s="81" t="s">
        <v>808</v>
      </c>
      <c r="C139" s="81" t="s">
        <v>808</v>
      </c>
      <c r="D139" s="83">
        <v>4200</v>
      </c>
      <c r="E139" s="82" t="s">
        <v>215</v>
      </c>
      <c r="F139" s="82" t="s">
        <v>39</v>
      </c>
      <c r="G139" s="82" t="s">
        <v>216</v>
      </c>
      <c r="H139" s="82" t="s">
        <v>41</v>
      </c>
      <c r="I139" s="82" t="s">
        <v>42</v>
      </c>
      <c r="J139" s="82" t="s">
        <v>43</v>
      </c>
      <c r="K139" s="82" t="s">
        <v>56</v>
      </c>
      <c r="L139" s="82" t="s">
        <v>42</v>
      </c>
      <c r="M139" s="82" t="s">
        <v>41</v>
      </c>
      <c r="N139" s="82" t="s">
        <v>42</v>
      </c>
      <c r="O139" s="82" t="s">
        <v>42</v>
      </c>
      <c r="P139" s="82" t="s">
        <v>42</v>
      </c>
      <c r="Q139" s="86">
        <v>633.23199999999997</v>
      </c>
      <c r="R139" s="86" t="s">
        <v>809</v>
      </c>
      <c r="S139" s="86" t="s">
        <v>810</v>
      </c>
      <c r="T139" s="86" t="s">
        <v>811</v>
      </c>
      <c r="U139" s="87">
        <v>0.06</v>
      </c>
      <c r="V139" s="82" t="s">
        <v>43</v>
      </c>
      <c r="W139" s="82" t="s">
        <v>43</v>
      </c>
      <c r="X139" s="82" t="s">
        <v>43</v>
      </c>
      <c r="Y139" s="82" t="s">
        <v>43</v>
      </c>
      <c r="Z139" s="82" t="s">
        <v>42</v>
      </c>
      <c r="AA139" s="82" t="s">
        <v>43</v>
      </c>
    </row>
    <row r="140" spans="1:27" ht="33.75" x14ac:dyDescent="0.15">
      <c r="A140" s="82" t="s">
        <v>812</v>
      </c>
      <c r="B140" s="81" t="s">
        <v>813</v>
      </c>
      <c r="C140" s="81" t="s">
        <v>813</v>
      </c>
      <c r="D140" s="83">
        <v>7060</v>
      </c>
      <c r="E140" s="82" t="s">
        <v>215</v>
      </c>
      <c r="F140" s="82" t="s">
        <v>39</v>
      </c>
      <c r="G140" s="82" t="s">
        <v>216</v>
      </c>
      <c r="H140" s="82" t="s">
        <v>41</v>
      </c>
      <c r="I140" s="82" t="s">
        <v>42</v>
      </c>
      <c r="J140" s="82" t="s">
        <v>43</v>
      </c>
      <c r="K140" s="82" t="s">
        <v>74</v>
      </c>
      <c r="L140" s="82" t="s">
        <v>203</v>
      </c>
      <c r="M140" s="82" t="s">
        <v>43</v>
      </c>
      <c r="N140" s="82" t="s">
        <v>42</v>
      </c>
      <c r="O140" s="82" t="s">
        <v>42</v>
      </c>
      <c r="P140" s="82" t="s">
        <v>42</v>
      </c>
      <c r="Q140" s="86" t="s">
        <v>814</v>
      </c>
      <c r="R140" s="86" t="s">
        <v>815</v>
      </c>
      <c r="S140" s="86" t="s">
        <v>816</v>
      </c>
      <c r="T140" s="86" t="s">
        <v>817</v>
      </c>
      <c r="U140" s="87">
        <v>0.21</v>
      </c>
      <c r="V140" s="82" t="s">
        <v>43</v>
      </c>
      <c r="W140" s="82" t="s">
        <v>41</v>
      </c>
      <c r="X140" s="82" t="s">
        <v>43</v>
      </c>
      <c r="Y140" s="82" t="s">
        <v>41</v>
      </c>
      <c r="Z140" s="82" t="s">
        <v>42</v>
      </c>
      <c r="AA140" s="82" t="s">
        <v>43</v>
      </c>
    </row>
    <row r="141" spans="1:27" ht="22.5" x14ac:dyDescent="0.15">
      <c r="A141" s="82" t="s">
        <v>818</v>
      </c>
      <c r="B141" s="81" t="s">
        <v>819</v>
      </c>
      <c r="C141" s="81" t="s">
        <v>819</v>
      </c>
      <c r="D141" s="83">
        <v>4230</v>
      </c>
      <c r="E141" s="82" t="s">
        <v>145</v>
      </c>
      <c r="F141" s="82" t="s">
        <v>65</v>
      </c>
      <c r="G141" s="82" t="s">
        <v>73</v>
      </c>
      <c r="H141" s="82" t="s">
        <v>41</v>
      </c>
      <c r="I141" s="82" t="s">
        <v>42</v>
      </c>
      <c r="J141" s="82" t="s">
        <v>43</v>
      </c>
      <c r="K141" s="82" t="s">
        <v>44</v>
      </c>
      <c r="L141" s="82" t="s">
        <v>42</v>
      </c>
      <c r="M141" s="82" t="s">
        <v>41</v>
      </c>
      <c r="N141" s="82" t="s">
        <v>42</v>
      </c>
      <c r="O141" s="82" t="s">
        <v>42</v>
      </c>
      <c r="P141" s="82" t="s">
        <v>41</v>
      </c>
      <c r="Q141" s="86" t="s">
        <v>820</v>
      </c>
      <c r="R141" s="86" t="s">
        <v>821</v>
      </c>
      <c r="S141" s="86" t="s">
        <v>822</v>
      </c>
      <c r="T141" s="86" t="s">
        <v>823</v>
      </c>
      <c r="U141" s="87">
        <v>0.17</v>
      </c>
      <c r="V141" s="82" t="s">
        <v>43</v>
      </c>
      <c r="W141" s="82" t="s">
        <v>41</v>
      </c>
      <c r="X141" s="82" t="s">
        <v>43</v>
      </c>
      <c r="Y141" s="82" t="s">
        <v>43</v>
      </c>
      <c r="Z141" s="82" t="s">
        <v>150</v>
      </c>
      <c r="AA141" s="82" t="s">
        <v>43</v>
      </c>
    </row>
    <row r="142" spans="1:27" ht="56.25" x14ac:dyDescent="0.15">
      <c r="A142" s="82" t="s">
        <v>824</v>
      </c>
      <c r="B142" s="81" t="s">
        <v>825</v>
      </c>
      <c r="C142" s="81" t="s">
        <v>267</v>
      </c>
      <c r="D142" s="83" t="s">
        <v>826</v>
      </c>
      <c r="E142" s="82" t="s">
        <v>215</v>
      </c>
      <c r="F142" s="82" t="s">
        <v>269</v>
      </c>
      <c r="G142" s="82" t="s">
        <v>270</v>
      </c>
      <c r="H142" s="82" t="s">
        <v>43</v>
      </c>
      <c r="I142" s="82" t="s">
        <v>271</v>
      </c>
      <c r="J142" s="82" t="s">
        <v>43</v>
      </c>
      <c r="K142" s="82" t="s">
        <v>88</v>
      </c>
      <c r="L142" s="82" t="s">
        <v>42</v>
      </c>
      <c r="M142" s="82" t="s">
        <v>43</v>
      </c>
      <c r="N142" s="82" t="s">
        <v>42</v>
      </c>
      <c r="O142" s="82" t="s">
        <v>42</v>
      </c>
      <c r="P142" s="82" t="s">
        <v>42</v>
      </c>
      <c r="Q142" s="86">
        <v>0</v>
      </c>
      <c r="R142" s="86">
        <v>0</v>
      </c>
      <c r="S142" s="86">
        <v>0</v>
      </c>
      <c r="T142" s="86">
        <v>0</v>
      </c>
      <c r="U142" s="88"/>
      <c r="V142" s="82" t="s">
        <v>43</v>
      </c>
      <c r="W142" s="82" t="s">
        <v>43</v>
      </c>
      <c r="X142" s="82" t="s">
        <v>43</v>
      </c>
      <c r="Y142" s="82" t="s">
        <v>43</v>
      </c>
      <c r="Z142" s="82" t="s">
        <v>42</v>
      </c>
      <c r="AA142" s="82" t="s">
        <v>43</v>
      </c>
    </row>
    <row r="143" spans="1:27" ht="56.25" x14ac:dyDescent="0.15">
      <c r="A143" s="82" t="s">
        <v>827</v>
      </c>
      <c r="B143" s="81" t="s">
        <v>828</v>
      </c>
      <c r="C143" s="81" t="s">
        <v>267</v>
      </c>
      <c r="D143" s="83" t="s">
        <v>829</v>
      </c>
      <c r="E143" s="82" t="s">
        <v>215</v>
      </c>
      <c r="F143" s="82" t="s">
        <v>269</v>
      </c>
      <c r="G143" s="82" t="s">
        <v>270</v>
      </c>
      <c r="H143" s="82" t="s">
        <v>43</v>
      </c>
      <c r="I143" s="82" t="s">
        <v>271</v>
      </c>
      <c r="J143" s="82" t="s">
        <v>43</v>
      </c>
      <c r="K143" s="82" t="s">
        <v>56</v>
      </c>
      <c r="L143" s="82" t="s">
        <v>42</v>
      </c>
      <c r="M143" s="82" t="s">
        <v>43</v>
      </c>
      <c r="N143" s="82" t="s">
        <v>42</v>
      </c>
      <c r="O143" s="82" t="s">
        <v>42</v>
      </c>
      <c r="P143" s="82" t="s">
        <v>42</v>
      </c>
      <c r="Q143" s="86">
        <v>0</v>
      </c>
      <c r="R143" s="86">
        <v>0</v>
      </c>
      <c r="S143" s="86">
        <v>0</v>
      </c>
      <c r="T143" s="86">
        <v>0</v>
      </c>
      <c r="U143" s="88"/>
      <c r="V143" s="82" t="s">
        <v>43</v>
      </c>
      <c r="W143" s="82" t="s">
        <v>43</v>
      </c>
      <c r="X143" s="82" t="s">
        <v>43</v>
      </c>
      <c r="Y143" s="82" t="s">
        <v>41</v>
      </c>
      <c r="Z143" s="82" t="s">
        <v>42</v>
      </c>
      <c r="AA143" s="82" t="s">
        <v>43</v>
      </c>
    </row>
    <row r="144" spans="1:27" ht="56.25" x14ac:dyDescent="0.15">
      <c r="A144" s="82" t="s">
        <v>830</v>
      </c>
      <c r="B144" s="81" t="s">
        <v>831</v>
      </c>
      <c r="C144" s="81" t="s">
        <v>82</v>
      </c>
      <c r="D144" s="83" t="s">
        <v>832</v>
      </c>
      <c r="E144" s="82" t="s">
        <v>84</v>
      </c>
      <c r="F144" s="82" t="s">
        <v>85</v>
      </c>
      <c r="G144" s="82" t="s">
        <v>86</v>
      </c>
      <c r="H144" s="82" t="s">
        <v>43</v>
      </c>
      <c r="I144" s="82" t="s">
        <v>87</v>
      </c>
      <c r="J144" s="82" t="s">
        <v>43</v>
      </c>
      <c r="K144" s="82" t="s">
        <v>93</v>
      </c>
      <c r="L144" s="82" t="s">
        <v>42</v>
      </c>
      <c r="M144" s="82" t="s">
        <v>43</v>
      </c>
      <c r="N144" s="82" t="s">
        <v>42</v>
      </c>
      <c r="O144" s="82" t="s">
        <v>42</v>
      </c>
      <c r="P144" s="82" t="s">
        <v>42</v>
      </c>
      <c r="Q144" s="86">
        <v>0</v>
      </c>
      <c r="R144" s="86">
        <v>0</v>
      </c>
      <c r="S144" s="86">
        <v>0</v>
      </c>
      <c r="T144" s="86">
        <v>0</v>
      </c>
      <c r="U144" s="88"/>
      <c r="V144" s="82" t="s">
        <v>43</v>
      </c>
      <c r="W144" s="82" t="s">
        <v>43</v>
      </c>
      <c r="X144" s="82" t="s">
        <v>43</v>
      </c>
      <c r="Y144" s="82" t="s">
        <v>41</v>
      </c>
      <c r="Z144" s="82" t="s">
        <v>89</v>
      </c>
      <c r="AA144" s="82" t="s">
        <v>43</v>
      </c>
    </row>
    <row r="145" spans="1:27" ht="33.75" x14ac:dyDescent="0.15">
      <c r="A145" s="82" t="s">
        <v>833</v>
      </c>
      <c r="B145" s="81" t="s">
        <v>834</v>
      </c>
      <c r="C145" s="81" t="s">
        <v>834</v>
      </c>
      <c r="D145" s="83">
        <v>4320</v>
      </c>
      <c r="E145" s="82" t="s">
        <v>64</v>
      </c>
      <c r="F145" s="82" t="s">
        <v>65</v>
      </c>
      <c r="G145" s="82" t="s">
        <v>66</v>
      </c>
      <c r="H145" s="82" t="s">
        <v>41</v>
      </c>
      <c r="I145" s="82" t="s">
        <v>42</v>
      </c>
      <c r="J145" s="82" t="s">
        <v>43</v>
      </c>
      <c r="K145" s="82" t="s">
        <v>74</v>
      </c>
      <c r="L145" s="82" t="s">
        <v>42</v>
      </c>
      <c r="M145" s="82" t="s">
        <v>41</v>
      </c>
      <c r="N145" s="82" t="s">
        <v>42</v>
      </c>
      <c r="O145" s="82" t="s">
        <v>42</v>
      </c>
      <c r="P145" s="82" t="s">
        <v>42</v>
      </c>
      <c r="Q145" s="86">
        <v>414.45100000000002</v>
      </c>
      <c r="R145" s="86" t="s">
        <v>835</v>
      </c>
      <c r="S145" s="86" t="s">
        <v>836</v>
      </c>
      <c r="T145" s="86" t="s">
        <v>837</v>
      </c>
      <c r="U145" s="87">
        <v>0.02</v>
      </c>
      <c r="V145" s="82" t="s">
        <v>43</v>
      </c>
      <c r="W145" s="82" t="s">
        <v>43</v>
      </c>
      <c r="X145" s="82" t="s">
        <v>43</v>
      </c>
      <c r="Y145" s="82" t="s">
        <v>43</v>
      </c>
      <c r="Z145" s="82" t="s">
        <v>42</v>
      </c>
      <c r="AA145" s="82" t="s">
        <v>43</v>
      </c>
    </row>
    <row r="146" spans="1:27" ht="33.75" x14ac:dyDescent="0.15">
      <c r="A146" s="82" t="s">
        <v>838</v>
      </c>
      <c r="B146" s="92" t="s">
        <v>839</v>
      </c>
      <c r="C146" s="92" t="s">
        <v>839</v>
      </c>
      <c r="D146" s="83">
        <v>4350</v>
      </c>
      <c r="E146" s="81" t="s">
        <v>53</v>
      </c>
      <c r="F146" s="82" t="e">
        <v>#N/A</v>
      </c>
      <c r="G146" s="82" t="s">
        <v>104</v>
      </c>
      <c r="H146" s="82" t="s">
        <v>41</v>
      </c>
      <c r="I146" s="82" t="s">
        <v>42</v>
      </c>
      <c r="J146" s="82" t="s">
        <v>43</v>
      </c>
      <c r="K146" s="82" t="s">
        <v>56</v>
      </c>
      <c r="L146" s="82" t="s">
        <v>42</v>
      </c>
      <c r="M146" s="82" t="s">
        <v>41</v>
      </c>
      <c r="N146" s="69" t="s">
        <v>41</v>
      </c>
      <c r="O146" s="84"/>
      <c r="P146" s="84"/>
      <c r="Q146" s="86" t="s">
        <v>840</v>
      </c>
      <c r="R146" s="86" t="s">
        <v>841</v>
      </c>
      <c r="S146" s="86" t="s">
        <v>842</v>
      </c>
      <c r="T146" s="86" t="s">
        <v>843</v>
      </c>
      <c r="U146" s="72">
        <v>0.63</v>
      </c>
      <c r="V146" s="82" t="s">
        <v>43</v>
      </c>
      <c r="W146" s="82" t="s">
        <v>43</v>
      </c>
      <c r="X146" s="82" t="s">
        <v>43</v>
      </c>
      <c r="Y146" s="82" t="s">
        <v>43</v>
      </c>
      <c r="Z146" s="82" t="s">
        <v>42</v>
      </c>
      <c r="AA146" s="82" t="s">
        <v>43</v>
      </c>
    </row>
    <row r="147" spans="1:27" ht="33.75" x14ac:dyDescent="0.15">
      <c r="A147" s="82" t="s">
        <v>844</v>
      </c>
      <c r="B147" s="93" t="s">
        <v>845</v>
      </c>
      <c r="C147" s="93" t="s">
        <v>845</v>
      </c>
      <c r="D147" s="83">
        <v>4360</v>
      </c>
      <c r="E147" s="82" t="s">
        <v>53</v>
      </c>
      <c r="F147" s="82" t="s">
        <v>39</v>
      </c>
      <c r="G147" s="82" t="s">
        <v>467</v>
      </c>
      <c r="H147" s="82" t="s">
        <v>41</v>
      </c>
      <c r="I147" s="82" t="s">
        <v>42</v>
      </c>
      <c r="J147" s="82" t="s">
        <v>43</v>
      </c>
      <c r="K147" s="82" t="s">
        <v>56</v>
      </c>
      <c r="L147" s="82" t="s">
        <v>42</v>
      </c>
      <c r="M147" s="82" t="s">
        <v>43</v>
      </c>
      <c r="N147" s="82" t="s">
        <v>42</v>
      </c>
      <c r="O147" s="82" t="s">
        <v>42</v>
      </c>
      <c r="P147" s="82" t="s">
        <v>42</v>
      </c>
      <c r="Q147" s="86">
        <v>148.81200000000001</v>
      </c>
      <c r="R147" s="86">
        <v>551.22199999999998</v>
      </c>
      <c r="S147" s="86" t="s">
        <v>846</v>
      </c>
      <c r="T147" s="86" t="s">
        <v>847</v>
      </c>
      <c r="U147" s="87">
        <v>0.06</v>
      </c>
      <c r="V147" s="82" t="s">
        <v>43</v>
      </c>
      <c r="W147" s="82" t="s">
        <v>43</v>
      </c>
      <c r="X147" s="82" t="s">
        <v>41</v>
      </c>
      <c r="Y147" s="82" t="s">
        <v>43</v>
      </c>
      <c r="Z147" s="82" t="s">
        <v>42</v>
      </c>
      <c r="AA147" s="82" t="s">
        <v>43</v>
      </c>
    </row>
    <row r="148" spans="1:27" ht="56.25" x14ac:dyDescent="0.15">
      <c r="A148" s="82" t="s">
        <v>848</v>
      </c>
      <c r="B148" s="81" t="s">
        <v>849</v>
      </c>
      <c r="C148" s="81" t="s">
        <v>82</v>
      </c>
      <c r="D148" s="83" t="s">
        <v>850</v>
      </c>
      <c r="E148" s="82" t="s">
        <v>84</v>
      </c>
      <c r="F148" s="82" t="s">
        <v>85</v>
      </c>
      <c r="G148" s="82" t="s">
        <v>86</v>
      </c>
      <c r="H148" s="82" t="s">
        <v>43</v>
      </c>
      <c r="I148" s="82" t="s">
        <v>87</v>
      </c>
      <c r="J148" s="82" t="s">
        <v>43</v>
      </c>
      <c r="K148" s="82" t="s">
        <v>93</v>
      </c>
      <c r="L148" s="82" t="s">
        <v>42</v>
      </c>
      <c r="M148" s="82" t="s">
        <v>43</v>
      </c>
      <c r="N148" s="82" t="s">
        <v>42</v>
      </c>
      <c r="O148" s="82" t="s">
        <v>42</v>
      </c>
      <c r="P148" s="82" t="s">
        <v>42</v>
      </c>
      <c r="Q148" s="86">
        <v>0</v>
      </c>
      <c r="R148" s="86">
        <v>0</v>
      </c>
      <c r="S148" s="86">
        <v>0</v>
      </c>
      <c r="T148" s="86">
        <v>0</v>
      </c>
      <c r="U148" s="88"/>
      <c r="V148" s="82" t="s">
        <v>43</v>
      </c>
      <c r="W148" s="82" t="s">
        <v>43</v>
      </c>
      <c r="X148" s="82" t="s">
        <v>43</v>
      </c>
      <c r="Y148" s="82" t="s">
        <v>43</v>
      </c>
      <c r="Z148" s="82" t="s">
        <v>89</v>
      </c>
      <c r="AA148" s="82" t="s">
        <v>43</v>
      </c>
    </row>
    <row r="149" spans="1:27" ht="56.25" x14ac:dyDescent="0.15">
      <c r="A149" s="82" t="s">
        <v>851</v>
      </c>
      <c r="B149" s="81" t="s">
        <v>852</v>
      </c>
      <c r="C149" s="81" t="s">
        <v>267</v>
      </c>
      <c r="D149" s="83" t="s">
        <v>853</v>
      </c>
      <c r="E149" s="82" t="s">
        <v>215</v>
      </c>
      <c r="F149" s="82" t="s">
        <v>269</v>
      </c>
      <c r="G149" s="82" t="s">
        <v>270</v>
      </c>
      <c r="H149" s="82" t="s">
        <v>43</v>
      </c>
      <c r="I149" s="82" t="s">
        <v>271</v>
      </c>
      <c r="J149" s="82" t="s">
        <v>43</v>
      </c>
      <c r="K149" s="82" t="s">
        <v>56</v>
      </c>
      <c r="L149" s="82" t="s">
        <v>203</v>
      </c>
      <c r="M149" s="82" t="s">
        <v>43</v>
      </c>
      <c r="N149" s="82" t="s">
        <v>42</v>
      </c>
      <c r="O149" s="82" t="s">
        <v>42</v>
      </c>
      <c r="P149" s="82" t="s">
        <v>42</v>
      </c>
      <c r="Q149" s="86">
        <v>0</v>
      </c>
      <c r="R149" s="86">
        <v>0</v>
      </c>
      <c r="S149" s="86">
        <v>0</v>
      </c>
      <c r="T149" s="86">
        <v>0</v>
      </c>
      <c r="U149" s="88"/>
      <c r="V149" s="82" t="s">
        <v>43</v>
      </c>
      <c r="W149" s="82" t="s">
        <v>41</v>
      </c>
      <c r="X149" s="82" t="s">
        <v>43</v>
      </c>
      <c r="Y149" s="82" t="s">
        <v>41</v>
      </c>
      <c r="Z149" s="82" t="s">
        <v>42</v>
      </c>
      <c r="AA149" s="82" t="s">
        <v>43</v>
      </c>
    </row>
    <row r="150" spans="1:27" ht="56.25" x14ac:dyDescent="0.15">
      <c r="A150" s="82" t="s">
        <v>854</v>
      </c>
      <c r="B150" s="81" t="s">
        <v>855</v>
      </c>
      <c r="C150" s="81" t="s">
        <v>115</v>
      </c>
      <c r="D150" s="83" t="s">
        <v>856</v>
      </c>
      <c r="E150" s="82" t="s">
        <v>64</v>
      </c>
      <c r="F150" s="82" t="s">
        <v>39</v>
      </c>
      <c r="G150" s="82" t="s">
        <v>104</v>
      </c>
      <c r="H150" s="82" t="s">
        <v>43</v>
      </c>
      <c r="I150" s="82" t="s">
        <v>117</v>
      </c>
      <c r="J150" s="82" t="s">
        <v>43</v>
      </c>
      <c r="K150" s="82" t="s">
        <v>93</v>
      </c>
      <c r="L150" s="82" t="s">
        <v>42</v>
      </c>
      <c r="M150" s="82" t="s">
        <v>43</v>
      </c>
      <c r="N150" s="82" t="s">
        <v>42</v>
      </c>
      <c r="O150" s="82" t="s">
        <v>42</v>
      </c>
      <c r="P150" s="82" t="s">
        <v>42</v>
      </c>
      <c r="Q150" s="86">
        <v>0</v>
      </c>
      <c r="R150" s="86">
        <v>0</v>
      </c>
      <c r="S150" s="86">
        <v>0</v>
      </c>
      <c r="T150" s="86">
        <v>0</v>
      </c>
      <c r="U150" s="88"/>
      <c r="V150" s="82" t="s">
        <v>43</v>
      </c>
      <c r="W150" s="82" t="s">
        <v>43</v>
      </c>
      <c r="X150" s="82" t="s">
        <v>43</v>
      </c>
      <c r="Y150" s="82" t="s">
        <v>43</v>
      </c>
      <c r="Z150" s="82" t="s">
        <v>42</v>
      </c>
      <c r="AA150" s="82" t="s">
        <v>43</v>
      </c>
    </row>
    <row r="151" spans="1:27" ht="22.5" x14ac:dyDescent="0.15">
      <c r="A151" s="82" t="s">
        <v>857</v>
      </c>
      <c r="B151" s="81" t="s">
        <v>858</v>
      </c>
      <c r="C151" s="81" t="s">
        <v>858</v>
      </c>
      <c r="D151" s="83">
        <v>4380</v>
      </c>
      <c r="E151" s="82" t="s">
        <v>72</v>
      </c>
      <c r="F151" s="82" t="s">
        <v>65</v>
      </c>
      <c r="G151" s="82" t="s">
        <v>73</v>
      </c>
      <c r="H151" s="82" t="s">
        <v>41</v>
      </c>
      <c r="I151" s="82" t="s">
        <v>42</v>
      </c>
      <c r="J151" s="82" t="s">
        <v>41</v>
      </c>
      <c r="K151" s="82" t="s">
        <v>44</v>
      </c>
      <c r="L151" s="82" t="s">
        <v>42</v>
      </c>
      <c r="M151" s="82" t="s">
        <v>41</v>
      </c>
      <c r="N151" s="82" t="s">
        <v>42</v>
      </c>
      <c r="O151" s="82" t="s">
        <v>42</v>
      </c>
      <c r="P151" s="82" t="s">
        <v>42</v>
      </c>
      <c r="Q151" s="86" t="s">
        <v>859</v>
      </c>
      <c r="R151" s="86" t="s">
        <v>860</v>
      </c>
      <c r="S151" s="86" t="s">
        <v>861</v>
      </c>
      <c r="T151" s="86" t="s">
        <v>862</v>
      </c>
      <c r="U151" s="87">
        <v>0.18</v>
      </c>
      <c r="V151" s="82" t="s">
        <v>43</v>
      </c>
      <c r="W151" s="82" t="s">
        <v>41</v>
      </c>
      <c r="X151" s="82" t="s">
        <v>41</v>
      </c>
      <c r="Y151" s="82" t="s">
        <v>43</v>
      </c>
      <c r="Z151" s="82" t="s">
        <v>208</v>
      </c>
      <c r="AA151" s="82" t="s">
        <v>43</v>
      </c>
    </row>
    <row r="152" spans="1:27" ht="33.75" x14ac:dyDescent="0.15">
      <c r="A152" s="82" t="s">
        <v>863</v>
      </c>
      <c r="B152" s="81" t="s">
        <v>864</v>
      </c>
      <c r="C152" s="81" t="s">
        <v>864</v>
      </c>
      <c r="D152" s="83">
        <v>4410</v>
      </c>
      <c r="E152" s="82" t="s">
        <v>53</v>
      </c>
      <c r="F152" s="82" t="s">
        <v>54</v>
      </c>
      <c r="G152" s="82" t="s">
        <v>132</v>
      </c>
      <c r="H152" s="82" t="s">
        <v>41</v>
      </c>
      <c r="I152" s="82" t="s">
        <v>42</v>
      </c>
      <c r="J152" s="82" t="s">
        <v>41</v>
      </c>
      <c r="K152" s="82" t="s">
        <v>56</v>
      </c>
      <c r="L152" s="82" t="s">
        <v>45</v>
      </c>
      <c r="M152" s="82" t="s">
        <v>41</v>
      </c>
      <c r="N152" s="69" t="s">
        <v>41</v>
      </c>
      <c r="O152" s="84" t="s">
        <v>42</v>
      </c>
      <c r="P152" s="84" t="s">
        <v>41</v>
      </c>
      <c r="Q152" s="86" t="s">
        <v>865</v>
      </c>
      <c r="R152" s="86" t="s">
        <v>866</v>
      </c>
      <c r="S152" s="86">
        <v>283.45800000000003</v>
      </c>
      <c r="T152" s="86" t="s">
        <v>867</v>
      </c>
      <c r="U152" s="72">
        <v>0.65</v>
      </c>
      <c r="V152" s="82" t="s">
        <v>41</v>
      </c>
      <c r="W152" s="82" t="s">
        <v>43</v>
      </c>
      <c r="X152" s="82" t="s">
        <v>43</v>
      </c>
      <c r="Y152" s="82" t="s">
        <v>43</v>
      </c>
      <c r="Z152" s="82" t="s">
        <v>42</v>
      </c>
      <c r="AA152" s="82" t="s">
        <v>41</v>
      </c>
    </row>
    <row r="153" spans="1:27" ht="33.75" x14ac:dyDescent="0.15">
      <c r="A153" s="82" t="s">
        <v>868</v>
      </c>
      <c r="B153" s="81" t="s">
        <v>869</v>
      </c>
      <c r="C153" s="81" t="s">
        <v>869</v>
      </c>
      <c r="D153" s="83">
        <v>4550</v>
      </c>
      <c r="E153" s="82" t="s">
        <v>72</v>
      </c>
      <c r="F153" s="82" t="s">
        <v>65</v>
      </c>
      <c r="G153" s="82" t="s">
        <v>73</v>
      </c>
      <c r="H153" s="82" t="s">
        <v>41</v>
      </c>
      <c r="I153" s="82" t="s">
        <v>42</v>
      </c>
      <c r="J153" s="82" t="s">
        <v>41</v>
      </c>
      <c r="K153" s="82" t="s">
        <v>74</v>
      </c>
      <c r="L153" s="82" t="s">
        <v>42</v>
      </c>
      <c r="M153" s="82" t="s">
        <v>41</v>
      </c>
      <c r="N153" s="82" t="s">
        <v>42</v>
      </c>
      <c r="O153" s="82" t="s">
        <v>42</v>
      </c>
      <c r="P153" s="82" t="s">
        <v>42</v>
      </c>
      <c r="Q153" s="86">
        <v>996.23</v>
      </c>
      <c r="R153" s="86" t="s">
        <v>870</v>
      </c>
      <c r="S153" s="86" t="s">
        <v>871</v>
      </c>
      <c r="T153" s="86" t="s">
        <v>872</v>
      </c>
      <c r="U153" s="87">
        <v>0.02</v>
      </c>
      <c r="V153" s="82" t="s">
        <v>43</v>
      </c>
      <c r="W153" s="82" t="s">
        <v>41</v>
      </c>
      <c r="X153" s="82" t="s">
        <v>43</v>
      </c>
      <c r="Y153" s="82" t="s">
        <v>43</v>
      </c>
      <c r="Z153" s="82" t="s">
        <v>208</v>
      </c>
      <c r="AA153" s="82" t="s">
        <v>43</v>
      </c>
    </row>
    <row r="154" spans="1:27" ht="33.75" x14ac:dyDescent="0.15">
      <c r="A154" s="82" t="s">
        <v>873</v>
      </c>
      <c r="B154" s="81" t="s">
        <v>874</v>
      </c>
      <c r="C154" s="81" t="s">
        <v>874</v>
      </c>
      <c r="D154" s="83">
        <v>4620</v>
      </c>
      <c r="E154" s="82" t="s">
        <v>84</v>
      </c>
      <c r="F154" s="82" t="s">
        <v>85</v>
      </c>
      <c r="G154" s="82" t="s">
        <v>86</v>
      </c>
      <c r="H154" s="82" t="s">
        <v>41</v>
      </c>
      <c r="I154" s="82" t="s">
        <v>42</v>
      </c>
      <c r="J154" s="82" t="s">
        <v>43</v>
      </c>
      <c r="K154" s="82" t="s">
        <v>93</v>
      </c>
      <c r="L154" s="82" t="s">
        <v>42</v>
      </c>
      <c r="M154" s="82" t="s">
        <v>43</v>
      </c>
      <c r="N154" s="82" t="s">
        <v>42</v>
      </c>
      <c r="O154" s="82" t="s">
        <v>42</v>
      </c>
      <c r="P154" s="82" t="s">
        <v>42</v>
      </c>
      <c r="Q154" s="86">
        <v>-27.515000000000001</v>
      </c>
      <c r="R154" s="86" t="s">
        <v>875</v>
      </c>
      <c r="S154" s="86">
        <v>872.44399999999996</v>
      </c>
      <c r="T154" s="86" t="s">
        <v>876</v>
      </c>
      <c r="U154" s="87">
        <v>0</v>
      </c>
      <c r="V154" s="82" t="s">
        <v>43</v>
      </c>
      <c r="W154" s="82" t="s">
        <v>43</v>
      </c>
      <c r="X154" s="82" t="s">
        <v>43</v>
      </c>
      <c r="Y154" s="82" t="s">
        <v>43</v>
      </c>
      <c r="Z154" s="82" t="s">
        <v>100</v>
      </c>
      <c r="AA154" s="82" t="s">
        <v>43</v>
      </c>
    </row>
    <row r="155" spans="1:27" ht="56.25" x14ac:dyDescent="0.15">
      <c r="A155" s="82" t="s">
        <v>877</v>
      </c>
      <c r="B155" s="81" t="s">
        <v>878</v>
      </c>
      <c r="C155" s="81" t="s">
        <v>267</v>
      </c>
      <c r="D155" s="83">
        <v>1430</v>
      </c>
      <c r="E155" s="82" t="s">
        <v>215</v>
      </c>
      <c r="F155" s="82" t="s">
        <v>269</v>
      </c>
      <c r="G155" s="82" t="s">
        <v>362</v>
      </c>
      <c r="H155" s="82" t="s">
        <v>43</v>
      </c>
      <c r="I155" s="82" t="s">
        <v>271</v>
      </c>
      <c r="J155" s="82" t="s">
        <v>43</v>
      </c>
      <c r="K155" s="82" t="s">
        <v>74</v>
      </c>
      <c r="L155" s="82" t="s">
        <v>42</v>
      </c>
      <c r="M155" s="82" t="s">
        <v>43</v>
      </c>
      <c r="N155" s="82" t="s">
        <v>42</v>
      </c>
      <c r="O155" s="82" t="s">
        <v>42</v>
      </c>
      <c r="P155" s="82" t="s">
        <v>42</v>
      </c>
      <c r="Q155" s="86">
        <v>0</v>
      </c>
      <c r="R155" s="86">
        <v>0</v>
      </c>
      <c r="S155" s="86">
        <v>0</v>
      </c>
      <c r="T155" s="86">
        <v>0</v>
      </c>
      <c r="U155" s="88"/>
      <c r="V155" s="82" t="s">
        <v>43</v>
      </c>
      <c r="W155" s="82" t="s">
        <v>43</v>
      </c>
      <c r="X155" s="82" t="s">
        <v>43</v>
      </c>
      <c r="Y155" s="82" t="s">
        <v>41</v>
      </c>
      <c r="Z155" s="82" t="s">
        <v>42</v>
      </c>
      <c r="AA155" s="82" t="s">
        <v>43</v>
      </c>
    </row>
    <row r="156" spans="1:27" ht="33.75" x14ac:dyDescent="0.15">
      <c r="A156" s="82" t="s">
        <v>879</v>
      </c>
      <c r="B156" s="81" t="s">
        <v>880</v>
      </c>
      <c r="C156" s="81" t="s">
        <v>880</v>
      </c>
      <c r="D156" s="83">
        <v>4710</v>
      </c>
      <c r="E156" s="82" t="s">
        <v>84</v>
      </c>
      <c r="F156" s="82" t="s">
        <v>85</v>
      </c>
      <c r="G156" s="82" t="s">
        <v>86</v>
      </c>
      <c r="H156" s="82" t="s">
        <v>41</v>
      </c>
      <c r="I156" s="82" t="s">
        <v>42</v>
      </c>
      <c r="J156" s="82" t="s">
        <v>43</v>
      </c>
      <c r="K156" s="82" t="s">
        <v>88</v>
      </c>
      <c r="L156" s="82" t="s">
        <v>203</v>
      </c>
      <c r="M156" s="82" t="s">
        <v>41</v>
      </c>
      <c r="N156" s="69" t="s">
        <v>41</v>
      </c>
      <c r="O156" s="84"/>
      <c r="P156" s="84" t="s">
        <v>42</v>
      </c>
      <c r="Q156" s="86" t="s">
        <v>881</v>
      </c>
      <c r="R156" s="86" t="s">
        <v>882</v>
      </c>
      <c r="S156" s="86" t="s">
        <v>883</v>
      </c>
      <c r="T156" s="86" t="s">
        <v>884</v>
      </c>
      <c r="U156" s="72">
        <v>0.89</v>
      </c>
      <c r="V156" s="82" t="s">
        <v>43</v>
      </c>
      <c r="W156" s="82" t="s">
        <v>43</v>
      </c>
      <c r="X156" s="82" t="s">
        <v>43</v>
      </c>
      <c r="Y156" s="82" t="s">
        <v>43</v>
      </c>
      <c r="Z156" s="82" t="s">
        <v>100</v>
      </c>
      <c r="AA156" s="82" t="s">
        <v>41</v>
      </c>
    </row>
    <row r="157" spans="1:27" ht="33.75" x14ac:dyDescent="0.15">
      <c r="A157" s="82" t="s">
        <v>885</v>
      </c>
      <c r="B157" s="81" t="s">
        <v>886</v>
      </c>
      <c r="C157" s="81" t="s">
        <v>886</v>
      </c>
      <c r="D157" s="83">
        <v>5200</v>
      </c>
      <c r="E157" s="82" t="s">
        <v>215</v>
      </c>
      <c r="F157" s="82" t="s">
        <v>39</v>
      </c>
      <c r="G157" s="82" t="s">
        <v>216</v>
      </c>
      <c r="H157" s="82" t="s">
        <v>41</v>
      </c>
      <c r="I157" s="82" t="s">
        <v>42</v>
      </c>
      <c r="J157" s="82" t="s">
        <v>43</v>
      </c>
      <c r="K157" s="82" t="s">
        <v>74</v>
      </c>
      <c r="L157" s="82" t="s">
        <v>42</v>
      </c>
      <c r="M157" s="82" t="s">
        <v>41</v>
      </c>
      <c r="N157" s="82" t="s">
        <v>42</v>
      </c>
      <c r="O157" s="82" t="s">
        <v>42</v>
      </c>
      <c r="P157" s="82" t="s">
        <v>42</v>
      </c>
      <c r="Q157" s="86" t="s">
        <v>887</v>
      </c>
      <c r="R157" s="86" t="s">
        <v>888</v>
      </c>
      <c r="S157" s="86" t="s">
        <v>889</v>
      </c>
      <c r="T157" s="86" t="s">
        <v>890</v>
      </c>
      <c r="U157" s="87">
        <v>0.31</v>
      </c>
      <c r="V157" s="82" t="s">
        <v>43</v>
      </c>
      <c r="W157" s="82" t="s">
        <v>43</v>
      </c>
      <c r="X157" s="82" t="s">
        <v>43</v>
      </c>
      <c r="Y157" s="82" t="s">
        <v>43</v>
      </c>
      <c r="Z157" s="82" t="s">
        <v>42</v>
      </c>
      <c r="AA157" s="82" t="s">
        <v>43</v>
      </c>
    </row>
    <row r="158" spans="1:27" x14ac:dyDescent="0.15">
      <c r="A158" s="82" t="s">
        <v>891</v>
      </c>
      <c r="B158" s="81" t="s">
        <v>892</v>
      </c>
      <c r="C158" s="81" t="s">
        <v>892</v>
      </c>
      <c r="D158" s="83">
        <v>4920</v>
      </c>
      <c r="E158" s="82" t="s">
        <v>64</v>
      </c>
      <c r="F158" s="82" t="s">
        <v>39</v>
      </c>
      <c r="G158" s="82" t="s">
        <v>104</v>
      </c>
      <c r="H158" s="82" t="s">
        <v>41</v>
      </c>
      <c r="I158" s="82" t="s">
        <v>42</v>
      </c>
      <c r="J158" s="82" t="s">
        <v>43</v>
      </c>
      <c r="K158" s="82" t="s">
        <v>44</v>
      </c>
      <c r="L158" s="82" t="s">
        <v>45</v>
      </c>
      <c r="M158" s="82" t="s">
        <v>41</v>
      </c>
      <c r="N158" s="69" t="s">
        <v>41</v>
      </c>
      <c r="O158" s="84"/>
      <c r="P158" s="84" t="s">
        <v>42</v>
      </c>
      <c r="Q158" s="86" t="s">
        <v>893</v>
      </c>
      <c r="R158" s="86" t="s">
        <v>894</v>
      </c>
      <c r="S158" s="86" t="s">
        <v>895</v>
      </c>
      <c r="T158" s="86" t="s">
        <v>896</v>
      </c>
      <c r="U158" s="87">
        <v>0.41</v>
      </c>
      <c r="V158" s="82" t="s">
        <v>41</v>
      </c>
      <c r="W158" s="82" t="s">
        <v>41</v>
      </c>
      <c r="X158" s="82" t="s">
        <v>43</v>
      </c>
      <c r="Y158" s="82" t="s">
        <v>43</v>
      </c>
      <c r="Z158" s="82" t="s">
        <v>42</v>
      </c>
      <c r="AA158" s="82" t="s">
        <v>41</v>
      </c>
    </row>
    <row r="159" spans="1:27" ht="33.75" x14ac:dyDescent="0.15">
      <c r="A159" s="82" t="s">
        <v>897</v>
      </c>
      <c r="B159" s="81" t="s">
        <v>898</v>
      </c>
      <c r="C159" s="81" t="s">
        <v>898</v>
      </c>
      <c r="D159" s="83">
        <v>4980</v>
      </c>
      <c r="E159" s="82" t="s">
        <v>72</v>
      </c>
      <c r="F159" s="82" t="s">
        <v>65</v>
      </c>
      <c r="G159" s="82" t="s">
        <v>73</v>
      </c>
      <c r="H159" s="82" t="s">
        <v>41</v>
      </c>
      <c r="I159" s="82" t="s">
        <v>42</v>
      </c>
      <c r="J159" s="82" t="s">
        <v>41</v>
      </c>
      <c r="K159" s="82" t="s">
        <v>74</v>
      </c>
      <c r="L159" s="82" t="s">
        <v>42</v>
      </c>
      <c r="M159" s="82" t="s">
        <v>41</v>
      </c>
      <c r="N159" s="82" t="s">
        <v>42</v>
      </c>
      <c r="O159" s="82" t="s">
        <v>42</v>
      </c>
      <c r="P159" s="82" t="s">
        <v>42</v>
      </c>
      <c r="Q159" s="86" t="s">
        <v>899</v>
      </c>
      <c r="R159" s="86" t="s">
        <v>900</v>
      </c>
      <c r="S159" s="86" t="s">
        <v>901</v>
      </c>
      <c r="T159" s="86" t="s">
        <v>902</v>
      </c>
      <c r="U159" s="87">
        <v>0.13</v>
      </c>
      <c r="V159" s="82" t="s">
        <v>43</v>
      </c>
      <c r="W159" s="82" t="s">
        <v>41</v>
      </c>
      <c r="X159" s="82" t="s">
        <v>41</v>
      </c>
      <c r="Y159" s="82" t="s">
        <v>43</v>
      </c>
      <c r="Z159" s="82" t="s">
        <v>208</v>
      </c>
      <c r="AA159" s="82" t="s">
        <v>43</v>
      </c>
    </row>
    <row r="160" spans="1:27" ht="33.75" x14ac:dyDescent="0.15">
      <c r="A160" s="82" t="s">
        <v>903</v>
      </c>
      <c r="B160" s="81" t="s">
        <v>904</v>
      </c>
      <c r="C160" s="81" t="s">
        <v>904</v>
      </c>
      <c r="D160" s="83">
        <v>6260</v>
      </c>
      <c r="E160" s="82" t="s">
        <v>72</v>
      </c>
      <c r="F160" s="82" t="s">
        <v>65</v>
      </c>
      <c r="G160" s="82" t="s">
        <v>73</v>
      </c>
      <c r="H160" s="82" t="s">
        <v>41</v>
      </c>
      <c r="I160" s="82" t="s">
        <v>42</v>
      </c>
      <c r="J160" s="82" t="s">
        <v>41</v>
      </c>
      <c r="K160" s="82" t="s">
        <v>74</v>
      </c>
      <c r="L160" s="82" t="s">
        <v>203</v>
      </c>
      <c r="M160" s="82" t="s">
        <v>41</v>
      </c>
      <c r="N160" s="69" t="s">
        <v>41</v>
      </c>
      <c r="O160" s="84"/>
      <c r="P160" s="84" t="s">
        <v>42</v>
      </c>
      <c r="Q160" s="86" t="s">
        <v>905</v>
      </c>
      <c r="R160" s="86" t="s">
        <v>906</v>
      </c>
      <c r="S160" s="86" t="s">
        <v>907</v>
      </c>
      <c r="T160" s="86" t="s">
        <v>908</v>
      </c>
      <c r="U160" s="94">
        <v>0.08</v>
      </c>
      <c r="V160" s="82" t="s">
        <v>43</v>
      </c>
      <c r="W160" s="82" t="s">
        <v>43</v>
      </c>
      <c r="X160" s="82" t="s">
        <v>41</v>
      </c>
      <c r="Y160" s="82" t="s">
        <v>43</v>
      </c>
      <c r="Z160" s="82" t="s">
        <v>208</v>
      </c>
      <c r="AA160" s="82" t="s">
        <v>43</v>
      </c>
    </row>
  </sheetData>
  <autoFilter ref="C1:AA160" xr:uid="{7BD39B08-C3BA-4D08-A493-BA773E69A1D6}"/>
  <conditionalFormatting sqref="C161:C1048576">
    <cfRule type="duplicateValues" dxfId="8" priority="1"/>
  </conditionalFormatting>
  <conditionalFormatting sqref="U161:U1048576">
    <cfRule type="cellIs" dxfId="7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41A8-783A-499F-8565-354434F75F88}">
  <dimension ref="A1:V1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1.25" x14ac:dyDescent="0.15"/>
  <cols>
    <col min="1" max="1" width="14" style="36" customWidth="1"/>
    <col min="2" max="3" width="9.140625" style="36"/>
    <col min="4" max="4" width="12" style="36" customWidth="1"/>
    <col min="5" max="5" width="13.140625" style="36" customWidth="1"/>
    <col min="6" max="6" width="10.7109375" style="36" customWidth="1"/>
    <col min="7" max="7" width="13.5703125" style="36" customWidth="1"/>
    <col min="8" max="18" width="10.7109375" style="36" customWidth="1"/>
    <col min="19" max="19" width="13.85546875" style="36" customWidth="1"/>
    <col min="20" max="20" width="12.85546875" style="36" customWidth="1"/>
    <col min="21" max="21" width="11.42578125" style="36" customWidth="1"/>
    <col min="22" max="22" width="12.85546875" style="36" customWidth="1"/>
    <col min="23" max="16384" width="9.140625" style="36"/>
  </cols>
  <sheetData>
    <row r="1" spans="1:22" s="37" customFormat="1" ht="73.5" x14ac:dyDescent="0.25">
      <c r="A1" s="11" t="s">
        <v>23</v>
      </c>
      <c r="B1" s="11" t="s">
        <v>25</v>
      </c>
      <c r="C1" s="11" t="s">
        <v>24</v>
      </c>
      <c r="D1" s="11" t="s">
        <v>1</v>
      </c>
      <c r="E1" s="11" t="s">
        <v>3</v>
      </c>
      <c r="F1" s="11" t="s">
        <v>10</v>
      </c>
      <c r="G1" s="52" t="s">
        <v>26</v>
      </c>
      <c r="H1" s="11" t="s">
        <v>11</v>
      </c>
      <c r="I1" s="11" t="s">
        <v>12</v>
      </c>
      <c r="J1" s="11" t="s">
        <v>14</v>
      </c>
      <c r="K1" s="11" t="s">
        <v>16</v>
      </c>
      <c r="L1" s="11" t="s">
        <v>20</v>
      </c>
      <c r="M1" s="11" t="s">
        <v>18</v>
      </c>
      <c r="N1" s="52" t="s">
        <v>909</v>
      </c>
      <c r="O1" s="52" t="s">
        <v>29</v>
      </c>
      <c r="P1" s="52" t="s">
        <v>34</v>
      </c>
      <c r="Q1" s="11" t="s">
        <v>21</v>
      </c>
      <c r="R1" s="11" t="s">
        <v>5</v>
      </c>
      <c r="S1" s="11" t="s">
        <v>6</v>
      </c>
      <c r="T1" s="11" t="s">
        <v>7</v>
      </c>
      <c r="U1" s="11" t="s">
        <v>4</v>
      </c>
      <c r="V1" s="11" t="s">
        <v>8</v>
      </c>
    </row>
    <row r="2" spans="1:22" ht="22.5" x14ac:dyDescent="0.15">
      <c r="A2" s="38" t="s">
        <v>36</v>
      </c>
      <c r="B2" s="38" t="s">
        <v>38</v>
      </c>
      <c r="C2" s="34" t="s">
        <v>37</v>
      </c>
      <c r="D2" s="38" t="str">
        <f>VLOOKUP($A2,[1]Sheet1!$A$2:$G$249,2,FALSE)</f>
        <v>Asia</v>
      </c>
      <c r="E2" s="38" t="s">
        <v>40</v>
      </c>
      <c r="F2" s="38" t="s">
        <v>41</v>
      </c>
      <c r="G2" s="38"/>
      <c r="H2" s="38" t="s">
        <v>35</v>
      </c>
      <c r="I2" s="38" t="s">
        <v>43</v>
      </c>
      <c r="J2" s="38" t="s">
        <v>44</v>
      </c>
      <c r="K2" s="38" t="s">
        <v>45</v>
      </c>
      <c r="L2" s="38" t="s">
        <v>41</v>
      </c>
      <c r="M2" s="38" t="s">
        <v>41</v>
      </c>
      <c r="N2" s="38" t="s">
        <v>41</v>
      </c>
      <c r="O2" s="38"/>
      <c r="P2" s="44">
        <f>VLOOKUP(A2,[2]clean!$A$2:$F$160,6,FALSE)</f>
        <v>0.17389315504222899</v>
      </c>
      <c r="Q2" s="38" t="s">
        <v>41</v>
      </c>
      <c r="R2" s="38" t="s">
        <v>41</v>
      </c>
      <c r="S2" s="38" t="s">
        <v>41</v>
      </c>
      <c r="T2" s="38" t="s">
        <v>43</v>
      </c>
      <c r="U2" s="38"/>
      <c r="V2" s="38" t="s">
        <v>41</v>
      </c>
    </row>
    <row r="3" spans="1:22" ht="33.75" x14ac:dyDescent="0.15">
      <c r="A3" s="38" t="s">
        <v>51</v>
      </c>
      <c r="B3" s="38" t="s">
        <v>53</v>
      </c>
      <c r="C3" s="34" t="s">
        <v>52</v>
      </c>
      <c r="D3" s="38" t="str">
        <f>VLOOKUP($A3,[1]Sheet1!$A$2:$G$249,2,FALSE)</f>
        <v>Europe</v>
      </c>
      <c r="E3" s="38" t="s">
        <v>55</v>
      </c>
      <c r="F3" s="38" t="s">
        <v>41</v>
      </c>
      <c r="G3" s="38"/>
      <c r="H3" s="38" t="s">
        <v>50</v>
      </c>
      <c r="I3" s="38" t="s">
        <v>43</v>
      </c>
      <c r="J3" s="38" t="s">
        <v>56</v>
      </c>
      <c r="K3" s="38"/>
      <c r="L3" s="38" t="s">
        <v>43</v>
      </c>
      <c r="M3" s="38"/>
      <c r="N3" s="38"/>
      <c r="O3" s="38"/>
      <c r="P3" s="44">
        <f>VLOOKUP(A3,[2]clean!$A$2:$F$160,6,FALSE)</f>
        <v>0.42843470604792899</v>
      </c>
      <c r="Q3" s="38" t="s">
        <v>43</v>
      </c>
      <c r="R3" s="38" t="s">
        <v>43</v>
      </c>
      <c r="S3" s="38" t="s">
        <v>43</v>
      </c>
      <c r="T3" s="38" t="s">
        <v>43</v>
      </c>
      <c r="U3" s="38"/>
      <c r="V3" s="38" t="s">
        <v>43</v>
      </c>
    </row>
    <row r="4" spans="1:22" ht="33.75" customHeight="1" x14ac:dyDescent="0.15">
      <c r="A4" s="38" t="s">
        <v>62</v>
      </c>
      <c r="B4" s="38" t="s">
        <v>64</v>
      </c>
      <c r="C4" s="34" t="s">
        <v>63</v>
      </c>
      <c r="D4" s="38" t="str">
        <f>VLOOKUP($A4,[1]Sheet1!$A$2:$G$249,2,FALSE)</f>
        <v>Africa</v>
      </c>
      <c r="E4" s="38" t="s">
        <v>66</v>
      </c>
      <c r="F4" s="38" t="s">
        <v>41</v>
      </c>
      <c r="G4" s="38"/>
      <c r="H4" s="38" t="s">
        <v>910</v>
      </c>
      <c r="I4" s="38" t="s">
        <v>43</v>
      </c>
      <c r="J4" s="38" t="s">
        <v>56</v>
      </c>
      <c r="K4" s="38"/>
      <c r="L4" s="38" t="s">
        <v>43</v>
      </c>
      <c r="M4" s="38"/>
      <c r="N4" s="38"/>
      <c r="O4" s="38"/>
      <c r="P4" s="44">
        <f>VLOOKUP(A4,[2]clean!$A$2:$F$160,6,FALSE)</f>
        <v>0.66153072095652599</v>
      </c>
      <c r="Q4" s="38" t="s">
        <v>41</v>
      </c>
      <c r="R4" s="38" t="s">
        <v>43</v>
      </c>
      <c r="S4" s="38" t="s">
        <v>43</v>
      </c>
      <c r="T4" s="38" t="s">
        <v>43</v>
      </c>
      <c r="U4" s="38"/>
      <c r="V4" s="38" t="s">
        <v>43</v>
      </c>
    </row>
    <row r="5" spans="1:22" ht="34.9" customHeight="1" x14ac:dyDescent="0.15">
      <c r="A5" s="38" t="s">
        <v>71</v>
      </c>
      <c r="B5" s="38" t="s">
        <v>72</v>
      </c>
      <c r="C5" s="34" t="s">
        <v>911</v>
      </c>
      <c r="D5" s="38" t="str">
        <f>VLOOKUP($A5,[1]Sheet1!$A$2:$G$249,2,FALSE)</f>
        <v>Africa</v>
      </c>
      <c r="E5" s="38" t="s">
        <v>73</v>
      </c>
      <c r="F5" s="38" t="s">
        <v>41</v>
      </c>
      <c r="G5" s="38"/>
      <c r="H5" s="38" t="s">
        <v>912</v>
      </c>
      <c r="I5" s="38" t="s">
        <v>41</v>
      </c>
      <c r="J5" s="38" t="s">
        <v>74</v>
      </c>
      <c r="K5" s="38"/>
      <c r="L5" s="38" t="s">
        <v>43</v>
      </c>
      <c r="M5" s="38"/>
      <c r="N5" s="38"/>
      <c r="O5" s="38"/>
      <c r="P5" s="44">
        <f>VLOOKUP(A5,[2]clean!$A$2:$F$160,6,FALSE)</f>
        <v>0.26841921824602799</v>
      </c>
      <c r="Q5" s="38" t="s">
        <v>41</v>
      </c>
      <c r="R5" s="38" t="s">
        <v>41</v>
      </c>
      <c r="S5" s="38" t="s">
        <v>43</v>
      </c>
      <c r="T5" s="38" t="s">
        <v>43</v>
      </c>
      <c r="U5" s="38" t="s">
        <v>79</v>
      </c>
      <c r="V5" s="38" t="s">
        <v>43</v>
      </c>
    </row>
    <row r="6" spans="1:22" ht="56.25" x14ac:dyDescent="0.15">
      <c r="A6" s="38" t="s">
        <v>81</v>
      </c>
      <c r="B6" s="38" t="s">
        <v>84</v>
      </c>
      <c r="C6" s="34" t="s">
        <v>83</v>
      </c>
      <c r="D6" s="38" t="str">
        <f>VLOOKUP($A6,[1]Sheet1!$A$2:$G$249,2,FALSE)</f>
        <v>Americas</v>
      </c>
      <c r="E6" s="38" t="s">
        <v>86</v>
      </c>
      <c r="F6" s="38" t="s">
        <v>43</v>
      </c>
      <c r="G6" s="38" t="s">
        <v>87</v>
      </c>
      <c r="H6" s="38" t="s">
        <v>80</v>
      </c>
      <c r="I6" s="38" t="s">
        <v>43</v>
      </c>
      <c r="J6" s="38" t="s">
        <v>88</v>
      </c>
      <c r="K6" s="38"/>
      <c r="L6" s="38" t="s">
        <v>43</v>
      </c>
      <c r="M6" s="38"/>
      <c r="N6" s="38"/>
      <c r="O6" s="38"/>
      <c r="P6" s="44" t="e">
        <f>VLOOKUP(A6,[2]clean!$A$2:$F$160,6,FALSE)</f>
        <v>#N/A</v>
      </c>
      <c r="Q6" s="38" t="s">
        <v>43</v>
      </c>
      <c r="R6" s="38" t="s">
        <v>43</v>
      </c>
      <c r="S6" s="38" t="s">
        <v>43</v>
      </c>
      <c r="T6" s="38" t="s">
        <v>41</v>
      </c>
      <c r="U6" s="38" t="s">
        <v>89</v>
      </c>
      <c r="V6" s="38" t="s">
        <v>43</v>
      </c>
    </row>
    <row r="7" spans="1:22" ht="56.25" x14ac:dyDescent="0.15">
      <c r="A7" s="38" t="s">
        <v>91</v>
      </c>
      <c r="B7" s="38" t="s">
        <v>84</v>
      </c>
      <c r="C7" s="34" t="s">
        <v>92</v>
      </c>
      <c r="D7" s="38" t="str">
        <f>VLOOKUP($A7,[1]Sheet1!$A$2:$G$249,2,FALSE)</f>
        <v>Americas</v>
      </c>
      <c r="E7" s="38" t="s">
        <v>86</v>
      </c>
      <c r="F7" s="38" t="s">
        <v>43</v>
      </c>
      <c r="G7" s="38" t="s">
        <v>87</v>
      </c>
      <c r="H7" s="38" t="s">
        <v>90</v>
      </c>
      <c r="I7" s="38" t="s">
        <v>43</v>
      </c>
      <c r="J7" s="38" t="s">
        <v>93</v>
      </c>
      <c r="K7" s="38"/>
      <c r="L7" s="38" t="s">
        <v>43</v>
      </c>
      <c r="M7" s="38"/>
      <c r="N7" s="38"/>
      <c r="O7" s="38"/>
      <c r="P7" s="44" t="e">
        <f>VLOOKUP(A7,[2]clean!$A$2:$F$160,6,FALSE)</f>
        <v>#N/A</v>
      </c>
      <c r="Q7" s="38" t="s">
        <v>43</v>
      </c>
      <c r="R7" s="38" t="s">
        <v>43</v>
      </c>
      <c r="S7" s="38" t="s">
        <v>43</v>
      </c>
      <c r="T7" s="38" t="s">
        <v>41</v>
      </c>
      <c r="U7" s="38" t="s">
        <v>89</v>
      </c>
      <c r="V7" s="38" t="s">
        <v>43</v>
      </c>
    </row>
    <row r="8" spans="1:22" ht="33.75" customHeight="1" x14ac:dyDescent="0.15">
      <c r="A8" s="38" t="s">
        <v>95</v>
      </c>
      <c r="B8" s="38" t="s">
        <v>84</v>
      </c>
      <c r="C8" s="34" t="s">
        <v>96</v>
      </c>
      <c r="D8" s="38" t="str">
        <f>VLOOKUP($A8,[1]Sheet1!$A$2:$G$249,2,FALSE)</f>
        <v>Americas</v>
      </c>
      <c r="E8" s="38" t="s">
        <v>86</v>
      </c>
      <c r="F8" s="38" t="s">
        <v>41</v>
      </c>
      <c r="G8" s="38"/>
      <c r="H8" s="38" t="s">
        <v>94</v>
      </c>
      <c r="I8" s="38" t="s">
        <v>43</v>
      </c>
      <c r="J8" s="38" t="s">
        <v>56</v>
      </c>
      <c r="K8" s="38"/>
      <c r="L8" s="38" t="s">
        <v>43</v>
      </c>
      <c r="M8" s="38"/>
      <c r="N8" s="38"/>
      <c r="O8" s="38"/>
      <c r="P8" s="44">
        <f>VLOOKUP(A8,[2]clean!$A$2:$F$160,6,FALSE)</f>
        <v>2.97862948825973E-3</v>
      </c>
      <c r="Q8" s="38" t="s">
        <v>43</v>
      </c>
      <c r="R8" s="38" t="s">
        <v>43</v>
      </c>
      <c r="S8" s="38" t="s">
        <v>43</v>
      </c>
      <c r="T8" s="38" t="s">
        <v>43</v>
      </c>
      <c r="U8" s="38" t="s">
        <v>100</v>
      </c>
      <c r="V8" s="38" t="s">
        <v>43</v>
      </c>
    </row>
    <row r="9" spans="1:22" ht="22.5" customHeight="1" x14ac:dyDescent="0.15">
      <c r="A9" s="38" t="s">
        <v>102</v>
      </c>
      <c r="B9" s="38" t="s">
        <v>53</v>
      </c>
      <c r="C9" s="34" t="s">
        <v>103</v>
      </c>
      <c r="D9" s="38" t="str">
        <f>VLOOKUP($A9,[1]Sheet1!$A$2:$G$249,2,FALSE)</f>
        <v>Asia</v>
      </c>
      <c r="E9" s="38" t="s">
        <v>104</v>
      </c>
      <c r="F9" s="38" t="s">
        <v>41</v>
      </c>
      <c r="G9" s="38"/>
      <c r="H9" s="38" t="s">
        <v>101</v>
      </c>
      <c r="I9" s="38" t="s">
        <v>43</v>
      </c>
      <c r="J9" s="38" t="s">
        <v>913</v>
      </c>
      <c r="K9" s="38"/>
      <c r="L9" s="38" t="s">
        <v>43</v>
      </c>
      <c r="M9" s="38" t="s">
        <v>41</v>
      </c>
      <c r="N9" s="38" t="s">
        <v>41</v>
      </c>
      <c r="O9" s="38"/>
      <c r="P9" s="44">
        <f>VLOOKUP(A9,[2]clean!$A$2:$F$160,6,FALSE)</f>
        <v>0.54116945156060503</v>
      </c>
      <c r="Q9" s="38" t="s">
        <v>43</v>
      </c>
      <c r="R9" s="38" t="s">
        <v>43</v>
      </c>
      <c r="S9" s="38" t="s">
        <v>41</v>
      </c>
      <c r="T9" s="38" t="s">
        <v>43</v>
      </c>
      <c r="U9" s="38"/>
      <c r="V9" s="38" t="s">
        <v>43</v>
      </c>
    </row>
    <row r="10" spans="1:22" ht="33.75" x14ac:dyDescent="0.15">
      <c r="A10" s="38" t="s">
        <v>110</v>
      </c>
      <c r="B10" s="38" t="s">
        <v>53</v>
      </c>
      <c r="C10" s="34" t="s">
        <v>111</v>
      </c>
      <c r="D10" s="38" t="str">
        <f>VLOOKUP($A10,[1]Sheet1!$A$2:$G$249,2,FALSE)</f>
        <v>Asia</v>
      </c>
      <c r="E10" s="38" t="s">
        <v>104</v>
      </c>
      <c r="F10" s="38" t="s">
        <v>41</v>
      </c>
      <c r="G10" s="38"/>
      <c r="H10" s="38" t="s">
        <v>109</v>
      </c>
      <c r="I10" s="38" t="s">
        <v>43</v>
      </c>
      <c r="J10" s="38" t="s">
        <v>56</v>
      </c>
      <c r="K10" s="38"/>
      <c r="L10" s="38" t="s">
        <v>43</v>
      </c>
      <c r="M10" s="38"/>
      <c r="N10" s="38"/>
      <c r="O10" s="38"/>
      <c r="P10" s="44">
        <f>VLOOKUP(A10,[2]clean!$A$2:$F$160,6,FALSE)</f>
        <v>8.1553941546197606E-2</v>
      </c>
      <c r="Q10" s="38" t="s">
        <v>43</v>
      </c>
      <c r="R10" s="38" t="s">
        <v>43</v>
      </c>
      <c r="S10" s="38" t="s">
        <v>41</v>
      </c>
      <c r="T10" s="38" t="s">
        <v>43</v>
      </c>
      <c r="U10" s="38"/>
      <c r="V10" s="38" t="s">
        <v>43</v>
      </c>
    </row>
    <row r="11" spans="1:22" ht="56.25" x14ac:dyDescent="0.15">
      <c r="A11" s="38" t="s">
        <v>114</v>
      </c>
      <c r="B11" s="38" t="s">
        <v>64</v>
      </c>
      <c r="C11" s="34" t="s">
        <v>116</v>
      </c>
      <c r="D11" s="38" t="str">
        <f>VLOOKUP($A11,[1]Sheet1!$A$2:$G$249,2,FALSE)</f>
        <v>Asia</v>
      </c>
      <c r="E11" s="38" t="s">
        <v>104</v>
      </c>
      <c r="F11" s="38" t="s">
        <v>43</v>
      </c>
      <c r="G11" s="38" t="s">
        <v>117</v>
      </c>
      <c r="H11" s="38" t="s">
        <v>113</v>
      </c>
      <c r="I11" s="38" t="s">
        <v>43</v>
      </c>
      <c r="J11" s="38" t="s">
        <v>93</v>
      </c>
      <c r="K11" s="38"/>
      <c r="L11" s="38" t="s">
        <v>43</v>
      </c>
      <c r="M11" s="38"/>
      <c r="N11" s="38"/>
      <c r="O11" s="38"/>
      <c r="P11" s="44" t="e">
        <f>VLOOKUP(A11,[2]clean!$A$2:$F$160,6,FALSE)</f>
        <v>#N/A</v>
      </c>
      <c r="Q11" s="38" t="s">
        <v>43</v>
      </c>
      <c r="R11" s="38" t="s">
        <v>43</v>
      </c>
      <c r="S11" s="38" t="s">
        <v>43</v>
      </c>
      <c r="T11" s="38" t="s">
        <v>43</v>
      </c>
      <c r="U11" s="38"/>
      <c r="V11" s="38" t="s">
        <v>43</v>
      </c>
    </row>
    <row r="12" spans="1:22" ht="33.75" customHeight="1" x14ac:dyDescent="0.15">
      <c r="A12" s="38" t="s">
        <v>119</v>
      </c>
      <c r="B12" s="38" t="s">
        <v>38</v>
      </c>
      <c r="C12" s="34" t="s">
        <v>914</v>
      </c>
      <c r="D12" s="38" t="str">
        <f>VLOOKUP($A12,[1]Sheet1!$A$2:$G$249,2,FALSE)</f>
        <v>Asia</v>
      </c>
      <c r="E12" s="38" t="s">
        <v>40</v>
      </c>
      <c r="F12" s="38" t="s">
        <v>41</v>
      </c>
      <c r="G12" s="38"/>
      <c r="H12" s="38" t="s">
        <v>915</v>
      </c>
      <c r="I12" s="38" t="s">
        <v>41</v>
      </c>
      <c r="J12" s="38" t="s">
        <v>74</v>
      </c>
      <c r="K12" s="38"/>
      <c r="L12" s="38" t="s">
        <v>43</v>
      </c>
      <c r="M12" s="38" t="s">
        <v>41</v>
      </c>
      <c r="N12" s="38" t="s">
        <v>41</v>
      </c>
      <c r="O12" s="38"/>
      <c r="P12" s="44">
        <f>VLOOKUP(A12,[2]clean!$A$2:$F$160,6,FALSE)</f>
        <v>0.31737127784110503</v>
      </c>
      <c r="Q12" s="38" t="s">
        <v>41</v>
      </c>
      <c r="R12" s="38" t="s">
        <v>41</v>
      </c>
      <c r="S12" s="38" t="s">
        <v>43</v>
      </c>
      <c r="T12" s="38" t="s">
        <v>43</v>
      </c>
      <c r="U12" s="38"/>
      <c r="V12" s="38" t="s">
        <v>43</v>
      </c>
    </row>
    <row r="13" spans="1:22" ht="22.5" customHeight="1" x14ac:dyDescent="0.15">
      <c r="A13" s="48" t="s">
        <v>82</v>
      </c>
      <c r="B13" s="48" t="s">
        <v>84</v>
      </c>
      <c r="C13" s="35" t="s">
        <v>125</v>
      </c>
      <c r="D13" s="48" t="str">
        <f>VLOOKUP($A13,[1]Sheet1!$A$2:$G$249,2,FALSE)</f>
        <v>Americas</v>
      </c>
      <c r="E13" s="48" t="s">
        <v>86</v>
      </c>
      <c r="F13" s="38" t="s">
        <v>41</v>
      </c>
      <c r="G13" s="38" t="s">
        <v>87</v>
      </c>
      <c r="H13" s="48" t="s">
        <v>916</v>
      </c>
      <c r="I13" s="48" t="s">
        <v>43</v>
      </c>
      <c r="J13" s="48" t="s">
        <v>93</v>
      </c>
      <c r="K13" s="48"/>
      <c r="L13" s="48" t="s">
        <v>43</v>
      </c>
      <c r="M13" s="48"/>
      <c r="N13" s="38"/>
      <c r="O13" s="38"/>
      <c r="P13" s="50">
        <f>VLOOKUP(A13,[2]clean!$A$2:$F$160,6,FALSE)</f>
        <v>0.15658021327531299</v>
      </c>
      <c r="Q13" s="48" t="s">
        <v>43</v>
      </c>
      <c r="R13" s="48" t="s">
        <v>43</v>
      </c>
      <c r="S13" s="48" t="s">
        <v>43</v>
      </c>
      <c r="T13" s="48" t="s">
        <v>41</v>
      </c>
      <c r="U13" s="48" t="s">
        <v>89</v>
      </c>
      <c r="V13" s="48" t="s">
        <v>43</v>
      </c>
    </row>
    <row r="14" spans="1:22" ht="33.75" x14ac:dyDescent="0.15">
      <c r="A14" s="38" t="s">
        <v>82</v>
      </c>
      <c r="B14" s="38" t="s">
        <v>84</v>
      </c>
      <c r="C14" s="34" t="s">
        <v>917</v>
      </c>
      <c r="D14" s="38" t="str">
        <f>VLOOKUP($A14,[1]Sheet1!$A$2:$G$249,2,FALSE)</f>
        <v>Americas</v>
      </c>
      <c r="E14" s="38" t="s">
        <v>86</v>
      </c>
      <c r="F14" s="38" t="s">
        <v>41</v>
      </c>
      <c r="G14" s="38"/>
      <c r="H14" s="38" t="s">
        <v>916</v>
      </c>
      <c r="I14" s="38" t="s">
        <v>43</v>
      </c>
      <c r="J14" s="38" t="s">
        <v>93</v>
      </c>
      <c r="K14" s="38"/>
      <c r="L14" s="38" t="s">
        <v>43</v>
      </c>
      <c r="M14" s="38"/>
      <c r="N14" s="38"/>
      <c r="O14" s="38"/>
      <c r="P14" s="44">
        <f>VLOOKUP(A14,[2]clean!$A$2:$F$160,6,FALSE)</f>
        <v>0.15658021327531299</v>
      </c>
      <c r="Q14" s="38" t="s">
        <v>43</v>
      </c>
      <c r="R14" s="38" t="s">
        <v>43</v>
      </c>
      <c r="S14" s="38" t="s">
        <v>43</v>
      </c>
      <c r="T14" s="38" t="s">
        <v>41</v>
      </c>
      <c r="U14" s="38" t="s">
        <v>89</v>
      </c>
      <c r="V14" s="38" t="s">
        <v>43</v>
      </c>
    </row>
    <row r="15" spans="1:22" ht="33.75" x14ac:dyDescent="0.15">
      <c r="A15" s="38" t="s">
        <v>130</v>
      </c>
      <c r="B15" s="38" t="s">
        <v>53</v>
      </c>
      <c r="C15" s="34" t="s">
        <v>131</v>
      </c>
      <c r="D15" s="38" t="str">
        <f>VLOOKUP($A15,[1]Sheet1!$A$2:$G$249,2,FALSE)</f>
        <v>Europe</v>
      </c>
      <c r="E15" s="38" t="s">
        <v>132</v>
      </c>
      <c r="F15" s="38" t="s">
        <v>41</v>
      </c>
      <c r="G15" s="38"/>
      <c r="H15" s="38" t="s">
        <v>918</v>
      </c>
      <c r="I15" s="38" t="s">
        <v>43</v>
      </c>
      <c r="J15" s="38" t="s">
        <v>56</v>
      </c>
      <c r="K15" s="38"/>
      <c r="L15" s="38" t="s">
        <v>43</v>
      </c>
      <c r="M15" s="38"/>
      <c r="N15" s="38"/>
      <c r="O15" s="38" t="s">
        <v>41</v>
      </c>
      <c r="P15" s="44">
        <f>VLOOKUP(A15,[2]clean!$A$2:$F$160,6,FALSE)</f>
        <v>0.47596011375414998</v>
      </c>
      <c r="Q15" s="38" t="s">
        <v>43</v>
      </c>
      <c r="R15" s="38" t="s">
        <v>43</v>
      </c>
      <c r="S15" s="38" t="s">
        <v>43</v>
      </c>
      <c r="T15" s="38" t="s">
        <v>43</v>
      </c>
      <c r="U15" s="38"/>
      <c r="V15" s="38" t="s">
        <v>43</v>
      </c>
    </row>
    <row r="16" spans="1:22" ht="22.5" customHeight="1" x14ac:dyDescent="0.15">
      <c r="A16" s="38" t="s">
        <v>137</v>
      </c>
      <c r="B16" s="38" t="s">
        <v>84</v>
      </c>
      <c r="C16" s="34" t="s">
        <v>919</v>
      </c>
      <c r="D16" s="38" t="str">
        <f>VLOOKUP($A16,[1]Sheet1!$A$2:$G$249,2,FALSE)</f>
        <v>Americas</v>
      </c>
      <c r="E16" s="38" t="s">
        <v>86</v>
      </c>
      <c r="F16" s="38" t="s">
        <v>41</v>
      </c>
      <c r="G16" s="38"/>
      <c r="H16" s="38" t="s">
        <v>920</v>
      </c>
      <c r="I16" s="38" t="s">
        <v>43</v>
      </c>
      <c r="J16" s="38" t="s">
        <v>56</v>
      </c>
      <c r="K16" s="38"/>
      <c r="L16" s="38" t="s">
        <v>43</v>
      </c>
      <c r="M16" s="38" t="s">
        <v>41</v>
      </c>
      <c r="N16" s="38"/>
      <c r="O16" s="38" t="s">
        <v>41</v>
      </c>
      <c r="P16" s="44">
        <f>VLOOKUP(A16,[2]clean!$A$2:$F$160,6,FALSE)</f>
        <v>0.54714751306429998</v>
      </c>
      <c r="Q16" s="38" t="s">
        <v>43</v>
      </c>
      <c r="R16" s="38" t="s">
        <v>43</v>
      </c>
      <c r="S16" s="38" t="s">
        <v>43</v>
      </c>
      <c r="T16" s="38" t="s">
        <v>41</v>
      </c>
      <c r="U16" s="38" t="s">
        <v>142</v>
      </c>
      <c r="V16" s="38" t="s">
        <v>43</v>
      </c>
    </row>
    <row r="17" spans="1:22" ht="33.75" customHeight="1" x14ac:dyDescent="0.15">
      <c r="A17" s="38" t="s">
        <v>144</v>
      </c>
      <c r="B17" s="38" t="s">
        <v>145</v>
      </c>
      <c r="C17" s="34" t="s">
        <v>921</v>
      </c>
      <c r="D17" s="38" t="str">
        <f>VLOOKUP($A17,[1]Sheet1!$A$2:$G$249,2,FALSE)</f>
        <v>Africa</v>
      </c>
      <c r="E17" s="38" t="s">
        <v>73</v>
      </c>
      <c r="F17" s="38" t="s">
        <v>41</v>
      </c>
      <c r="G17" s="38"/>
      <c r="H17" s="38" t="s">
        <v>143</v>
      </c>
      <c r="I17" s="38" t="s">
        <v>43</v>
      </c>
      <c r="J17" s="38" t="s">
        <v>74</v>
      </c>
      <c r="K17" s="38"/>
      <c r="L17" s="38" t="s">
        <v>43</v>
      </c>
      <c r="M17" s="38"/>
      <c r="N17" s="38"/>
      <c r="O17" s="38" t="s">
        <v>41</v>
      </c>
      <c r="P17" s="44">
        <f>VLOOKUP(A17,[2]clean!$A$2:$F$160,6,FALSE)</f>
        <v>0.120077912412818</v>
      </c>
      <c r="Q17" s="38" t="s">
        <v>41</v>
      </c>
      <c r="R17" s="38" t="s">
        <v>41</v>
      </c>
      <c r="S17" s="38" t="s">
        <v>43</v>
      </c>
      <c r="T17" s="38" t="s">
        <v>43</v>
      </c>
      <c r="U17" s="38" t="s">
        <v>150</v>
      </c>
      <c r="V17" s="38" t="s">
        <v>43</v>
      </c>
    </row>
    <row r="18" spans="1:22" ht="33.75" x14ac:dyDescent="0.15">
      <c r="A18" s="38" t="s">
        <v>152</v>
      </c>
      <c r="B18" s="38" t="s">
        <v>38</v>
      </c>
      <c r="C18" s="34" t="s">
        <v>153</v>
      </c>
      <c r="D18" s="38" t="str">
        <f>VLOOKUP($A18,[1]Sheet1!$A$2:$G$249,2,FALSE)</f>
        <v>Asia</v>
      </c>
      <c r="E18" s="38" t="s">
        <v>40</v>
      </c>
      <c r="F18" s="38" t="s">
        <v>41</v>
      </c>
      <c r="G18" s="38"/>
      <c r="H18" s="38" t="s">
        <v>151</v>
      </c>
      <c r="I18" s="38" t="s">
        <v>43</v>
      </c>
      <c r="J18" s="38" t="s">
        <v>74</v>
      </c>
      <c r="K18" s="38"/>
      <c r="L18" s="38" t="s">
        <v>43</v>
      </c>
      <c r="M18" s="38"/>
      <c r="N18" s="38"/>
      <c r="O18" s="38"/>
      <c r="P18" s="44">
        <f>VLOOKUP(A18,[2]clean!$A$2:$F$160,6,FALSE)</f>
        <v>6.0444759201410299E-2</v>
      </c>
      <c r="Q18" s="38" t="s">
        <v>43</v>
      </c>
      <c r="R18" s="38" t="s">
        <v>43</v>
      </c>
      <c r="S18" s="38" t="s">
        <v>41</v>
      </c>
      <c r="T18" s="38" t="s">
        <v>43</v>
      </c>
      <c r="U18" s="38"/>
      <c r="V18" s="38" t="s">
        <v>43</v>
      </c>
    </row>
    <row r="19" spans="1:22" ht="33.75" x14ac:dyDescent="0.15">
      <c r="A19" s="38" t="s">
        <v>158</v>
      </c>
      <c r="B19" s="38" t="s">
        <v>84</v>
      </c>
      <c r="C19" s="34" t="s">
        <v>159</v>
      </c>
      <c r="D19" s="38" t="str">
        <f>VLOOKUP($A19,[1]Sheet1!$A$2:$G$249,2,FALSE)</f>
        <v>Americas</v>
      </c>
      <c r="E19" s="38" t="s">
        <v>86</v>
      </c>
      <c r="F19" s="38" t="s">
        <v>41</v>
      </c>
      <c r="G19" s="38"/>
      <c r="H19" s="38" t="s">
        <v>157</v>
      </c>
      <c r="I19" s="38" t="s">
        <v>43</v>
      </c>
      <c r="J19" s="38" t="s">
        <v>74</v>
      </c>
      <c r="K19" s="38"/>
      <c r="L19" s="38" t="s">
        <v>43</v>
      </c>
      <c r="M19" s="38"/>
      <c r="N19" s="38"/>
      <c r="O19" s="38" t="s">
        <v>41</v>
      </c>
      <c r="P19" s="44">
        <f>VLOOKUP(A19,[2]clean!$A$2:$F$160,6,FALSE)</f>
        <v>7.71163574090038E-2</v>
      </c>
      <c r="Q19" s="38" t="s">
        <v>43</v>
      </c>
      <c r="R19" s="38" t="s">
        <v>43</v>
      </c>
      <c r="S19" s="38" t="s">
        <v>41</v>
      </c>
      <c r="T19" s="38" t="s">
        <v>43</v>
      </c>
      <c r="U19" s="38" t="s">
        <v>100</v>
      </c>
      <c r="V19" s="38" t="s">
        <v>43</v>
      </c>
    </row>
    <row r="20" spans="1:22" ht="22.5" customHeight="1" x14ac:dyDescent="0.15">
      <c r="A20" s="38" t="s">
        <v>165</v>
      </c>
      <c r="B20" s="38" t="s">
        <v>53</v>
      </c>
      <c r="C20" s="34" t="s">
        <v>166</v>
      </c>
      <c r="D20" s="38" t="str">
        <f>VLOOKUP($A20,[1]Sheet1!$A$2:$G$249,2,FALSE)</f>
        <v>Europe</v>
      </c>
      <c r="E20" s="38" t="s">
        <v>55</v>
      </c>
      <c r="F20" s="38" t="s">
        <v>41</v>
      </c>
      <c r="G20" s="38"/>
      <c r="H20" s="38" t="s">
        <v>922</v>
      </c>
      <c r="I20" s="38" t="s">
        <v>43</v>
      </c>
      <c r="J20" s="38" t="s">
        <v>56</v>
      </c>
      <c r="K20" s="38"/>
      <c r="L20" s="38" t="s">
        <v>43</v>
      </c>
      <c r="M20" s="38"/>
      <c r="N20" s="38"/>
      <c r="O20" s="38"/>
      <c r="P20" s="44">
        <f>VLOOKUP(A20,[2]clean!$A$2:$F$160,6,FALSE)</f>
        <v>9.9348941935239105E-2</v>
      </c>
      <c r="Q20" s="38" t="s">
        <v>43</v>
      </c>
      <c r="R20" s="38" t="s">
        <v>43</v>
      </c>
      <c r="S20" s="38" t="s">
        <v>43</v>
      </c>
      <c r="T20" s="38" t="s">
        <v>43</v>
      </c>
      <c r="U20" s="38"/>
      <c r="V20" s="38" t="s">
        <v>43</v>
      </c>
    </row>
    <row r="21" spans="1:22" ht="33.75" x14ac:dyDescent="0.15">
      <c r="A21" s="38" t="s">
        <v>171</v>
      </c>
      <c r="B21" s="38" t="s">
        <v>72</v>
      </c>
      <c r="C21" s="34" t="s">
        <v>172</v>
      </c>
      <c r="D21" s="38" t="str">
        <f>VLOOKUP($A21,[1]Sheet1!$A$2:$G$249,2,FALSE)</f>
        <v>Africa</v>
      </c>
      <c r="E21" s="38" t="s">
        <v>73</v>
      </c>
      <c r="F21" s="38" t="s">
        <v>41</v>
      </c>
      <c r="G21" s="38"/>
      <c r="H21" s="38" t="s">
        <v>923</v>
      </c>
      <c r="I21" s="38" t="s">
        <v>41</v>
      </c>
      <c r="J21" s="38" t="s">
        <v>56</v>
      </c>
      <c r="K21" s="38"/>
      <c r="L21" s="38" t="s">
        <v>43</v>
      </c>
      <c r="M21" s="38"/>
      <c r="N21" s="38"/>
      <c r="O21" s="38"/>
      <c r="P21" s="44">
        <f>VLOOKUP(A21,[2]clean!$A$2:$F$160,6,FALSE)</f>
        <v>0.21384094614399801</v>
      </c>
      <c r="Q21" s="38" t="s">
        <v>43</v>
      </c>
      <c r="R21" s="38" t="s">
        <v>43</v>
      </c>
      <c r="S21" s="38" t="s">
        <v>41</v>
      </c>
      <c r="T21" s="38" t="s">
        <v>43</v>
      </c>
      <c r="U21" s="38" t="s">
        <v>176</v>
      </c>
      <c r="V21" s="38" t="s">
        <v>43</v>
      </c>
    </row>
    <row r="22" spans="1:22" ht="33.75" customHeight="1" x14ac:dyDescent="0.15">
      <c r="A22" s="38" t="s">
        <v>178</v>
      </c>
      <c r="B22" s="38" t="s">
        <v>84</v>
      </c>
      <c r="C22" s="34" t="s">
        <v>179</v>
      </c>
      <c r="D22" s="38" t="str">
        <f>VLOOKUP($A22,[1]Sheet1!$A$2:$G$249,2,FALSE)</f>
        <v>Americas</v>
      </c>
      <c r="E22" s="38" t="s">
        <v>86</v>
      </c>
      <c r="F22" s="38" t="s">
        <v>41</v>
      </c>
      <c r="G22" s="38"/>
      <c r="H22" s="38" t="s">
        <v>924</v>
      </c>
      <c r="I22" s="38" t="s">
        <v>41</v>
      </c>
      <c r="J22" s="38" t="s">
        <v>56</v>
      </c>
      <c r="K22" s="38"/>
      <c r="L22" s="38" t="s">
        <v>43</v>
      </c>
      <c r="M22" s="38"/>
      <c r="N22" s="38"/>
      <c r="O22" s="38" t="s">
        <v>41</v>
      </c>
      <c r="P22" s="44">
        <f>VLOOKUP(A22,[2]clean!$A$2:$F$160,6,FALSE)</f>
        <v>0.31766921358544897</v>
      </c>
      <c r="Q22" s="38" t="s">
        <v>43</v>
      </c>
      <c r="R22" s="38" t="s">
        <v>43</v>
      </c>
      <c r="S22" s="38" t="s">
        <v>43</v>
      </c>
      <c r="T22" s="38" t="s">
        <v>43</v>
      </c>
      <c r="U22" s="38" t="s">
        <v>100</v>
      </c>
      <c r="V22" s="38" t="s">
        <v>43</v>
      </c>
    </row>
    <row r="23" spans="1:22" ht="56.25" customHeight="1" x14ac:dyDescent="0.15">
      <c r="A23" s="38" t="s">
        <v>185</v>
      </c>
      <c r="B23" s="38" t="s">
        <v>84</v>
      </c>
      <c r="C23" s="34" t="s">
        <v>186</v>
      </c>
      <c r="D23" s="38" t="str">
        <f>VLOOKUP($A23,[1]Sheet1!$A$2:$G$249,2,FALSE)</f>
        <v>Americas</v>
      </c>
      <c r="E23" s="38" t="s">
        <v>86</v>
      </c>
      <c r="F23" s="38" t="s">
        <v>43</v>
      </c>
      <c r="G23" s="38" t="s">
        <v>87</v>
      </c>
      <c r="H23" s="38" t="s">
        <v>184</v>
      </c>
      <c r="I23" s="38" t="s">
        <v>43</v>
      </c>
      <c r="J23" s="38" t="s">
        <v>93</v>
      </c>
      <c r="K23" s="38"/>
      <c r="L23" s="38" t="s">
        <v>43</v>
      </c>
      <c r="M23" s="38"/>
      <c r="N23" s="38"/>
      <c r="O23" s="38"/>
      <c r="P23" s="44" t="e">
        <f>VLOOKUP(A23,[2]clean!$A$2:$F$160,6,FALSE)</f>
        <v>#N/A</v>
      </c>
      <c r="Q23" s="38" t="s">
        <v>43</v>
      </c>
      <c r="R23" s="38" t="s">
        <v>43</v>
      </c>
      <c r="S23" s="38" t="s">
        <v>43</v>
      </c>
      <c r="T23" s="38" t="s">
        <v>41</v>
      </c>
      <c r="U23" s="38" t="s">
        <v>89</v>
      </c>
      <c r="V23" s="38" t="s">
        <v>43</v>
      </c>
    </row>
    <row r="24" spans="1:22" ht="34.9" customHeight="1" x14ac:dyDescent="0.15">
      <c r="A24" s="38" t="s">
        <v>188</v>
      </c>
      <c r="B24" s="38" t="s">
        <v>53</v>
      </c>
      <c r="C24" s="34" t="s">
        <v>189</v>
      </c>
      <c r="D24" s="38" t="str">
        <f>VLOOKUP($A24,[1]Sheet1!$A$2:$G$249,2,FALSE)</f>
        <v>Europe</v>
      </c>
      <c r="E24" s="38" t="s">
        <v>132</v>
      </c>
      <c r="F24" s="38" t="s">
        <v>41</v>
      </c>
      <c r="G24" s="38"/>
      <c r="H24" s="38" t="s">
        <v>925</v>
      </c>
      <c r="I24" s="38" t="s">
        <v>43</v>
      </c>
      <c r="J24" s="38" t="s">
        <v>93</v>
      </c>
      <c r="K24" s="38"/>
      <c r="L24" s="38" t="s">
        <v>43</v>
      </c>
      <c r="M24" s="38" t="s">
        <v>41</v>
      </c>
      <c r="N24" s="38"/>
      <c r="O24" s="38" t="s">
        <v>41</v>
      </c>
      <c r="P24" s="44">
        <f>VLOOKUP(A24,[2]clean!$A$2:$F$160,6,FALSE)</f>
        <v>0.53754304556314203</v>
      </c>
      <c r="Q24" s="38" t="s">
        <v>43</v>
      </c>
      <c r="R24" s="38" t="s">
        <v>43</v>
      </c>
      <c r="S24" s="38" t="s">
        <v>43</v>
      </c>
      <c r="T24" s="38" t="s">
        <v>43</v>
      </c>
      <c r="U24" s="38"/>
      <c r="V24" s="38" t="s">
        <v>43</v>
      </c>
    </row>
    <row r="25" spans="1:22" ht="22.5" x14ac:dyDescent="0.15">
      <c r="A25" s="38" t="s">
        <v>195</v>
      </c>
      <c r="B25" s="38" t="s">
        <v>145</v>
      </c>
      <c r="C25" s="34" t="s">
        <v>926</v>
      </c>
      <c r="D25" s="38" t="str">
        <f>VLOOKUP($A25,[1]Sheet1!$A$2:$G$249,2,FALSE)</f>
        <v>Africa</v>
      </c>
      <c r="E25" s="38" t="s">
        <v>73</v>
      </c>
      <c r="F25" s="38" t="s">
        <v>41</v>
      </c>
      <c r="G25" s="38"/>
      <c r="H25" s="38" t="s">
        <v>927</v>
      </c>
      <c r="I25" s="38" t="s">
        <v>43</v>
      </c>
      <c r="J25" s="38" t="s">
        <v>44</v>
      </c>
      <c r="K25" s="38" t="s">
        <v>45</v>
      </c>
      <c r="L25" s="38" t="s">
        <v>41</v>
      </c>
      <c r="M25" s="38" t="s">
        <v>41</v>
      </c>
      <c r="N25" s="38" t="s">
        <v>41</v>
      </c>
      <c r="O25" s="38"/>
      <c r="P25" s="44">
        <f>VLOOKUP(A25,[2]clean!$A$2:$F$160,6,FALSE)</f>
        <v>0.27655277325859101</v>
      </c>
      <c r="Q25" s="38" t="s">
        <v>41</v>
      </c>
      <c r="R25" s="38" t="s">
        <v>41</v>
      </c>
      <c r="S25" s="38" t="s">
        <v>41</v>
      </c>
      <c r="T25" s="38" t="s">
        <v>43</v>
      </c>
      <c r="U25" s="38" t="s">
        <v>150</v>
      </c>
      <c r="V25" s="38" t="s">
        <v>41</v>
      </c>
    </row>
    <row r="26" spans="1:22" ht="45" x14ac:dyDescent="0.15">
      <c r="A26" s="38" t="s">
        <v>201</v>
      </c>
      <c r="B26" s="38" t="s">
        <v>72</v>
      </c>
      <c r="C26" s="34" t="s">
        <v>202</v>
      </c>
      <c r="D26" s="38" t="str">
        <f>VLOOKUP($A26,[1]Sheet1!$A$2:$G$249,2,FALSE)</f>
        <v>Africa</v>
      </c>
      <c r="E26" s="38" t="s">
        <v>73</v>
      </c>
      <c r="F26" s="38" t="s">
        <v>41</v>
      </c>
      <c r="G26" s="38"/>
      <c r="H26" s="38" t="s">
        <v>928</v>
      </c>
      <c r="I26" s="38" t="s">
        <v>41</v>
      </c>
      <c r="J26" s="38" t="s">
        <v>44</v>
      </c>
      <c r="K26" s="38" t="s">
        <v>203</v>
      </c>
      <c r="L26" s="38" t="s">
        <v>43</v>
      </c>
      <c r="M26" s="38"/>
      <c r="N26" s="38"/>
      <c r="O26" s="38"/>
      <c r="P26" s="44">
        <f>VLOOKUP(A26,[2]clean!$A$2:$F$160,6,FALSE)</f>
        <v>8.5646825042982003E-2</v>
      </c>
      <c r="Q26" s="38" t="s">
        <v>41</v>
      </c>
      <c r="R26" s="38" t="s">
        <v>41</v>
      </c>
      <c r="S26" s="38" t="s">
        <v>41</v>
      </c>
      <c r="T26" s="38" t="s">
        <v>43</v>
      </c>
      <c r="U26" s="38" t="s">
        <v>208</v>
      </c>
      <c r="V26" s="38" t="s">
        <v>41</v>
      </c>
    </row>
    <row r="27" spans="1:22" ht="33.75" x14ac:dyDescent="0.15">
      <c r="A27" s="38" t="s">
        <v>210</v>
      </c>
      <c r="B27" s="38" t="s">
        <v>145</v>
      </c>
      <c r="C27" s="34" t="s">
        <v>929</v>
      </c>
      <c r="D27" s="38" t="str">
        <f>VLOOKUP($A27,[1]Sheet1!$A$2:$G$249,2,FALSE)</f>
        <v>Africa</v>
      </c>
      <c r="E27" s="38" t="s">
        <v>73</v>
      </c>
      <c r="F27" s="38" t="s">
        <v>41</v>
      </c>
      <c r="G27" s="38"/>
      <c r="H27" s="38" t="s">
        <v>930</v>
      </c>
      <c r="I27" s="38" t="s">
        <v>43</v>
      </c>
      <c r="J27" s="38" t="s">
        <v>74</v>
      </c>
      <c r="K27" s="38"/>
      <c r="L27" s="38" t="s">
        <v>43</v>
      </c>
      <c r="M27" s="38"/>
      <c r="N27" s="38"/>
      <c r="O27" s="38"/>
      <c r="P27" s="44">
        <f>VLOOKUP(A27,[2]clean!$A$2:$F$160,6,FALSE)</f>
        <v>0.32185120038881099</v>
      </c>
      <c r="Q27" s="38" t="s">
        <v>43</v>
      </c>
      <c r="R27" s="38" t="s">
        <v>43</v>
      </c>
      <c r="S27" s="38" t="s">
        <v>43</v>
      </c>
      <c r="T27" s="38" t="s">
        <v>41</v>
      </c>
      <c r="U27" s="38" t="s">
        <v>150</v>
      </c>
      <c r="V27" s="38" t="s">
        <v>43</v>
      </c>
    </row>
    <row r="28" spans="1:22" ht="33.75" customHeight="1" x14ac:dyDescent="0.15">
      <c r="A28" s="38" t="s">
        <v>213</v>
      </c>
      <c r="B28" s="38" t="s">
        <v>215</v>
      </c>
      <c r="C28" s="34" t="s">
        <v>214</v>
      </c>
      <c r="D28" s="38" t="str">
        <f>VLOOKUP($A28,[1]Sheet1!$A$2:$G$249,2,FALSE)</f>
        <v>Asia</v>
      </c>
      <c r="E28" s="38" t="s">
        <v>216</v>
      </c>
      <c r="F28" s="38" t="s">
        <v>41</v>
      </c>
      <c r="G28" s="38"/>
      <c r="H28" s="38" t="s">
        <v>931</v>
      </c>
      <c r="I28" s="38" t="s">
        <v>43</v>
      </c>
      <c r="J28" s="38" t="s">
        <v>74</v>
      </c>
      <c r="K28" s="38"/>
      <c r="L28" s="38" t="s">
        <v>43</v>
      </c>
      <c r="M28" s="38"/>
      <c r="N28" s="38"/>
      <c r="O28" s="38"/>
      <c r="P28" s="44">
        <f>VLOOKUP(A28,[2]clean!$A$2:$F$160,6,FALSE)</f>
        <v>0.232337249117021</v>
      </c>
      <c r="Q28" s="38" t="s">
        <v>43</v>
      </c>
      <c r="R28" s="38" t="s">
        <v>41</v>
      </c>
      <c r="S28" s="38" t="s">
        <v>43</v>
      </c>
      <c r="T28" s="38" t="s">
        <v>43</v>
      </c>
      <c r="U28" s="38"/>
      <c r="V28" s="38" t="s">
        <v>43</v>
      </c>
    </row>
    <row r="29" spans="1:22" ht="33.75" x14ac:dyDescent="0.15">
      <c r="A29" s="38" t="s">
        <v>222</v>
      </c>
      <c r="B29" s="38" t="s">
        <v>145</v>
      </c>
      <c r="C29" s="34" t="s">
        <v>223</v>
      </c>
      <c r="D29" s="38" t="str">
        <f>VLOOKUP($A29,[1]Sheet1!$A$2:$G$249,2,FALSE)</f>
        <v>Africa</v>
      </c>
      <c r="E29" s="38" t="s">
        <v>73</v>
      </c>
      <c r="F29" s="38" t="s">
        <v>41</v>
      </c>
      <c r="G29" s="38"/>
      <c r="H29" s="38" t="s">
        <v>932</v>
      </c>
      <c r="I29" s="38" t="s">
        <v>43</v>
      </c>
      <c r="J29" s="38" t="s">
        <v>44</v>
      </c>
      <c r="K29" s="38" t="s">
        <v>45</v>
      </c>
      <c r="L29" s="38" t="s">
        <v>41</v>
      </c>
      <c r="M29" s="38" t="s">
        <v>41</v>
      </c>
      <c r="N29" s="38" t="s">
        <v>41</v>
      </c>
      <c r="O29" s="38"/>
      <c r="P29" s="44">
        <f>VLOOKUP(A29,[2]clean!$A$2:$F$160,6,FALSE)</f>
        <v>0.34774464982825298</v>
      </c>
      <c r="Q29" s="38" t="s">
        <v>41</v>
      </c>
      <c r="R29" s="38" t="s">
        <v>41</v>
      </c>
      <c r="S29" s="38" t="s">
        <v>41</v>
      </c>
      <c r="T29" s="38" t="s">
        <v>43</v>
      </c>
      <c r="U29" s="38" t="s">
        <v>79</v>
      </c>
      <c r="V29" s="38" t="s">
        <v>41</v>
      </c>
    </row>
    <row r="30" spans="1:22" ht="45" x14ac:dyDescent="0.15">
      <c r="A30" s="38" t="s">
        <v>229</v>
      </c>
      <c r="B30" s="38" t="s">
        <v>145</v>
      </c>
      <c r="C30" s="34" t="s">
        <v>230</v>
      </c>
      <c r="D30" s="38" t="str">
        <f>VLOOKUP($A30,[1]Sheet1!$A$2:$G$249,2,FALSE)</f>
        <v>Africa</v>
      </c>
      <c r="E30" s="38" t="s">
        <v>73</v>
      </c>
      <c r="F30" s="38" t="s">
        <v>41</v>
      </c>
      <c r="G30" s="38"/>
      <c r="H30" s="38" t="s">
        <v>933</v>
      </c>
      <c r="I30" s="38" t="s">
        <v>41</v>
      </c>
      <c r="J30" s="38" t="s">
        <v>44</v>
      </c>
      <c r="K30" s="38" t="s">
        <v>203</v>
      </c>
      <c r="L30" s="38" t="s">
        <v>43</v>
      </c>
      <c r="M30" s="38" t="s">
        <v>41</v>
      </c>
      <c r="N30" s="38" t="s">
        <v>41</v>
      </c>
      <c r="O30" s="38"/>
      <c r="P30" s="44">
        <f>VLOOKUP(A30,[2]clean!$A$2:$F$160,6,FALSE)</f>
        <v>0.24045095345374301</v>
      </c>
      <c r="Q30" s="38" t="s">
        <v>41</v>
      </c>
      <c r="R30" s="38" t="s">
        <v>41</v>
      </c>
      <c r="S30" s="38" t="s">
        <v>41</v>
      </c>
      <c r="T30" s="38" t="s">
        <v>43</v>
      </c>
      <c r="U30" s="38" t="s">
        <v>79</v>
      </c>
      <c r="V30" s="38" t="s">
        <v>41</v>
      </c>
    </row>
    <row r="31" spans="1:22" ht="33.75" customHeight="1" x14ac:dyDescent="0.15">
      <c r="A31" s="38" t="s">
        <v>236</v>
      </c>
      <c r="B31" s="38" t="s">
        <v>84</v>
      </c>
      <c r="C31" s="34" t="s">
        <v>237</v>
      </c>
      <c r="D31" s="38" t="str">
        <f>VLOOKUP($A31,[1]Sheet1!$A$2:$G$249,2,FALSE)</f>
        <v>Americas</v>
      </c>
      <c r="E31" s="38" t="s">
        <v>86</v>
      </c>
      <c r="F31" s="38" t="s">
        <v>41</v>
      </c>
      <c r="G31" s="38"/>
      <c r="H31" s="38" t="s">
        <v>934</v>
      </c>
      <c r="I31" s="38" t="s">
        <v>43</v>
      </c>
      <c r="J31" s="38" t="s">
        <v>93</v>
      </c>
      <c r="K31" s="38"/>
      <c r="L31" s="38" t="s">
        <v>43</v>
      </c>
      <c r="M31" s="38"/>
      <c r="N31" s="38"/>
      <c r="O31" s="38" t="s">
        <v>41</v>
      </c>
      <c r="P31" s="44">
        <f>VLOOKUP(A31,[2]clean!$A$2:$F$160,6,FALSE)</f>
        <v>0.22918050977853999</v>
      </c>
      <c r="Q31" s="38" t="s">
        <v>43</v>
      </c>
      <c r="R31" s="38" t="s">
        <v>43</v>
      </c>
      <c r="S31" s="38" t="s">
        <v>43</v>
      </c>
      <c r="T31" s="38" t="s">
        <v>43</v>
      </c>
      <c r="U31" s="38" t="s">
        <v>100</v>
      </c>
      <c r="V31" s="38" t="s">
        <v>43</v>
      </c>
    </row>
    <row r="32" spans="1:22" ht="33.75" customHeight="1" x14ac:dyDescent="0.15">
      <c r="A32" s="38" t="s">
        <v>242</v>
      </c>
      <c r="B32" s="38" t="s">
        <v>215</v>
      </c>
      <c r="C32" s="34" t="s">
        <v>243</v>
      </c>
      <c r="D32" s="38" t="str">
        <f>VLOOKUP($A32,[1]Sheet1!$A$2:$G$249,2,FALSE)</f>
        <v>Asia</v>
      </c>
      <c r="E32" s="38" t="s">
        <v>244</v>
      </c>
      <c r="F32" s="38" t="s">
        <v>41</v>
      </c>
      <c r="G32" s="38"/>
      <c r="H32" s="38" t="s">
        <v>241</v>
      </c>
      <c r="I32" s="38" t="s">
        <v>41</v>
      </c>
      <c r="J32" s="38" t="s">
        <v>56</v>
      </c>
      <c r="K32" s="38"/>
      <c r="L32" s="38" t="s">
        <v>43</v>
      </c>
      <c r="M32" s="38"/>
      <c r="N32" s="38"/>
      <c r="O32" s="38"/>
      <c r="P32" s="44">
        <f>VLOOKUP(A32,[2]clean!$A$2:$F$160,6,FALSE)</f>
        <v>1.8154251832193101E-4</v>
      </c>
      <c r="Q32" s="38" t="s">
        <v>43</v>
      </c>
      <c r="R32" s="38" t="s">
        <v>43</v>
      </c>
      <c r="S32" s="38" t="s">
        <v>43</v>
      </c>
      <c r="T32" s="38" t="s">
        <v>43</v>
      </c>
      <c r="U32" s="38"/>
      <c r="V32" s="38" t="s">
        <v>43</v>
      </c>
    </row>
    <row r="33" spans="1:22" ht="11.25" customHeight="1" x14ac:dyDescent="0.15">
      <c r="A33" s="38" t="s">
        <v>248</v>
      </c>
      <c r="B33" s="38" t="s">
        <v>84</v>
      </c>
      <c r="C33" s="34" t="s">
        <v>249</v>
      </c>
      <c r="D33" s="38" t="str">
        <f>VLOOKUP($A33,[1]Sheet1!$A$2:$G$249,2,FALSE)</f>
        <v>Americas</v>
      </c>
      <c r="E33" s="38" t="s">
        <v>86</v>
      </c>
      <c r="F33" s="38" t="s">
        <v>41</v>
      </c>
      <c r="G33" s="38"/>
      <c r="H33" s="38" t="s">
        <v>247</v>
      </c>
      <c r="I33" s="38" t="s">
        <v>43</v>
      </c>
      <c r="J33" s="38" t="s">
        <v>56</v>
      </c>
      <c r="K33" s="38"/>
      <c r="L33" s="38" t="s">
        <v>43</v>
      </c>
      <c r="M33" s="38"/>
      <c r="N33" s="38"/>
      <c r="O33" s="38" t="s">
        <v>41</v>
      </c>
      <c r="P33" s="44">
        <f>VLOOKUP(A33,[2]clean!$A$2:$F$160,6,FALSE)</f>
        <v>0.40384450679489697</v>
      </c>
      <c r="Q33" s="38" t="s">
        <v>43</v>
      </c>
      <c r="R33" s="38" t="s">
        <v>43</v>
      </c>
      <c r="S33" s="38" t="s">
        <v>43</v>
      </c>
      <c r="T33" s="38" t="s">
        <v>43</v>
      </c>
      <c r="U33" s="38" t="s">
        <v>100</v>
      </c>
      <c r="V33" s="38" t="s">
        <v>41</v>
      </c>
    </row>
    <row r="34" spans="1:22" ht="33.75" customHeight="1" x14ac:dyDescent="0.15">
      <c r="A34" s="38" t="s">
        <v>255</v>
      </c>
      <c r="B34" s="38" t="s">
        <v>72</v>
      </c>
      <c r="C34" s="34" t="s">
        <v>935</v>
      </c>
      <c r="D34" s="38" t="str">
        <f>VLOOKUP($A34,[1]Sheet1!$A$2:$G$249,2,FALSE)</f>
        <v>Africa</v>
      </c>
      <c r="E34" s="38" t="s">
        <v>73</v>
      </c>
      <c r="F34" s="38" t="s">
        <v>41</v>
      </c>
      <c r="G34" s="38"/>
      <c r="H34" s="38" t="s">
        <v>254</v>
      </c>
      <c r="I34" s="38" t="s">
        <v>43</v>
      </c>
      <c r="J34" s="38" t="s">
        <v>74</v>
      </c>
      <c r="K34" s="38" t="s">
        <v>203</v>
      </c>
      <c r="L34" s="38" t="s">
        <v>43</v>
      </c>
      <c r="M34" s="38"/>
      <c r="N34" s="38"/>
      <c r="O34" s="38"/>
      <c r="P34" s="44">
        <f>VLOOKUP(A34,[2]clean!$A$2:$F$160,6,FALSE)</f>
        <v>0.24946058217696701</v>
      </c>
      <c r="Q34" s="38" t="s">
        <v>43</v>
      </c>
      <c r="R34" s="38" t="s">
        <v>41</v>
      </c>
      <c r="S34" s="38" t="s">
        <v>43</v>
      </c>
      <c r="T34" s="38" t="s">
        <v>41</v>
      </c>
      <c r="U34" s="38" t="s">
        <v>208</v>
      </c>
      <c r="V34" s="38" t="s">
        <v>43</v>
      </c>
    </row>
    <row r="35" spans="1:22" ht="33.75" customHeight="1" x14ac:dyDescent="0.25">
      <c r="A35" s="38" t="s">
        <v>260</v>
      </c>
      <c r="B35" s="38" t="s">
        <v>145</v>
      </c>
      <c r="C35" s="34" t="s">
        <v>936</v>
      </c>
      <c r="D35" s="38" t="str">
        <f>VLOOKUP($A35,[1]Sheet1!$A$2:$G$249,2,FALSE)</f>
        <v>Africa</v>
      </c>
      <c r="E35" s="38" t="s">
        <v>73</v>
      </c>
      <c r="F35" s="38" t="s">
        <v>41</v>
      </c>
      <c r="G35" s="38"/>
      <c r="H35" s="38" t="s">
        <v>937</v>
      </c>
      <c r="I35" s="38" t="s">
        <v>43</v>
      </c>
      <c r="J35" s="32" t="s">
        <v>74</v>
      </c>
      <c r="K35" s="38" t="s">
        <v>203</v>
      </c>
      <c r="L35" s="38" t="s">
        <v>43</v>
      </c>
      <c r="M35" s="38"/>
      <c r="N35" s="38"/>
      <c r="O35" s="38"/>
      <c r="P35" s="44">
        <f>VLOOKUP(A35,[2]clean!$A$2:$F$160,6,FALSE)</f>
        <v>0.240471344548677</v>
      </c>
      <c r="Q35" s="38" t="s">
        <v>43</v>
      </c>
      <c r="R35" s="38" t="s">
        <v>43</v>
      </c>
      <c r="S35" s="38" t="s">
        <v>43</v>
      </c>
      <c r="T35" s="38" t="s">
        <v>43</v>
      </c>
      <c r="U35" s="38" t="s">
        <v>79</v>
      </c>
      <c r="V35" s="38" t="s">
        <v>43</v>
      </c>
    </row>
    <row r="36" spans="1:22" ht="33.75" customHeight="1" x14ac:dyDescent="0.15">
      <c r="A36" s="38" t="s">
        <v>266</v>
      </c>
      <c r="B36" s="38" t="s">
        <v>215</v>
      </c>
      <c r="C36" s="34" t="s">
        <v>268</v>
      </c>
      <c r="D36" s="38" t="str">
        <f>VLOOKUP($A36,[1]Sheet1!$A$2:$G$249,2,FALSE)</f>
        <v>Oceania</v>
      </c>
      <c r="E36" s="38" t="s">
        <v>270</v>
      </c>
      <c r="F36" s="38" t="s">
        <v>43</v>
      </c>
      <c r="G36" s="38" t="s">
        <v>271</v>
      </c>
      <c r="H36" s="38" t="s">
        <v>265</v>
      </c>
      <c r="I36" s="38" t="s">
        <v>43</v>
      </c>
      <c r="J36" s="36" t="s">
        <v>88</v>
      </c>
      <c r="K36" s="38"/>
      <c r="L36" s="38" t="s">
        <v>43</v>
      </c>
      <c r="M36" s="38"/>
      <c r="N36" s="38"/>
      <c r="O36" s="38"/>
      <c r="P36" s="44" t="e">
        <f>VLOOKUP(A36,[2]clean!$A$2:$F$160,6,FALSE)</f>
        <v>#N/A</v>
      </c>
      <c r="Q36" s="38" t="s">
        <v>43</v>
      </c>
      <c r="R36" s="38" t="s">
        <v>43</v>
      </c>
      <c r="S36" s="38" t="s">
        <v>43</v>
      </c>
      <c r="T36" s="38" t="s">
        <v>41</v>
      </c>
      <c r="U36" s="38"/>
      <c r="V36" s="38" t="s">
        <v>43</v>
      </c>
    </row>
    <row r="37" spans="1:22" ht="22.5" customHeight="1" x14ac:dyDescent="0.15">
      <c r="A37" s="38" t="s">
        <v>273</v>
      </c>
      <c r="B37" s="38" t="s">
        <v>84</v>
      </c>
      <c r="C37" s="34" t="s">
        <v>938</v>
      </c>
      <c r="D37" s="38" t="str">
        <f>VLOOKUP($A37,[1]Sheet1!$A$2:$G$249,2,FALSE)</f>
        <v>Americas</v>
      </c>
      <c r="E37" s="38" t="s">
        <v>86</v>
      </c>
      <c r="F37" s="38" t="s">
        <v>41</v>
      </c>
      <c r="G37" s="38"/>
      <c r="H37" s="38" t="s">
        <v>939</v>
      </c>
      <c r="I37" s="38" t="s">
        <v>43</v>
      </c>
      <c r="J37" s="38" t="s">
        <v>56</v>
      </c>
      <c r="K37" s="38"/>
      <c r="L37" s="38" t="s">
        <v>43</v>
      </c>
      <c r="M37" s="38" t="s">
        <v>41</v>
      </c>
      <c r="N37" s="38"/>
      <c r="O37" s="38" t="s">
        <v>41</v>
      </c>
      <c r="P37" s="44">
        <f>VLOOKUP(A37,[2]clean!$A$2:$F$160,6,FALSE)</f>
        <v>0.65072663856705204</v>
      </c>
      <c r="Q37" s="38" t="s">
        <v>43</v>
      </c>
      <c r="R37" s="38" t="s">
        <v>43</v>
      </c>
      <c r="S37" s="38" t="s">
        <v>43</v>
      </c>
      <c r="T37" s="38" t="s">
        <v>43</v>
      </c>
      <c r="U37" s="38" t="s">
        <v>142</v>
      </c>
      <c r="V37" s="38" t="s">
        <v>43</v>
      </c>
    </row>
    <row r="38" spans="1:22" ht="33.75" customHeight="1" x14ac:dyDescent="0.25">
      <c r="A38" s="38" t="s">
        <v>277</v>
      </c>
      <c r="B38" s="38" t="s">
        <v>145</v>
      </c>
      <c r="C38" s="34" t="s">
        <v>940</v>
      </c>
      <c r="D38" s="38" t="str">
        <f>VLOOKUP($A38,[1]Sheet1!$A$2:$G$249,2,FALSE)</f>
        <v>Africa</v>
      </c>
      <c r="E38" s="38" t="s">
        <v>73</v>
      </c>
      <c r="F38" s="38" t="s">
        <v>41</v>
      </c>
      <c r="G38" s="38"/>
      <c r="H38" s="38" t="s">
        <v>941</v>
      </c>
      <c r="I38" s="38" t="s">
        <v>41</v>
      </c>
      <c r="J38" s="32" t="s">
        <v>74</v>
      </c>
      <c r="K38" s="38"/>
      <c r="L38" s="38" t="s">
        <v>43</v>
      </c>
      <c r="M38" s="38"/>
      <c r="N38" s="38"/>
      <c r="O38" s="38" t="s">
        <v>41</v>
      </c>
      <c r="P38" s="44">
        <f>VLOOKUP(A38,[2]clean!$A$2:$F$160,6,FALSE)</f>
        <v>0.103554182831063</v>
      </c>
      <c r="Q38" s="38" t="s">
        <v>41</v>
      </c>
      <c r="R38" s="38" t="s">
        <v>43</v>
      </c>
      <c r="S38" s="38" t="s">
        <v>43</v>
      </c>
      <c r="T38" s="38" t="s">
        <v>43</v>
      </c>
      <c r="U38" s="38" t="s">
        <v>150</v>
      </c>
      <c r="V38" s="38" t="s">
        <v>43</v>
      </c>
    </row>
    <row r="39" spans="1:22" ht="22.5" customHeight="1" x14ac:dyDescent="0.15">
      <c r="A39" s="38" t="s">
        <v>283</v>
      </c>
      <c r="B39" s="38" t="s">
        <v>53</v>
      </c>
      <c r="C39" s="34" t="s">
        <v>942</v>
      </c>
      <c r="D39" s="38" t="str">
        <f>VLOOKUP($A39,[1]Sheet1!$A$2:$G$249,2,FALSE)</f>
        <v>Europe</v>
      </c>
      <c r="E39" s="38" t="s">
        <v>55</v>
      </c>
      <c r="F39" s="38" t="s">
        <v>41</v>
      </c>
      <c r="G39" s="38"/>
      <c r="H39" s="38" t="s">
        <v>943</v>
      </c>
      <c r="I39" s="38" t="s">
        <v>43</v>
      </c>
      <c r="J39" s="36" t="s">
        <v>93</v>
      </c>
      <c r="K39" s="38"/>
      <c r="L39" s="38" t="s">
        <v>43</v>
      </c>
      <c r="M39" s="38"/>
      <c r="N39" s="38"/>
      <c r="O39" s="38"/>
      <c r="P39" s="44">
        <f>VLOOKUP(A39,[2]clean!$A$2:$F$160,6,FALSE)</f>
        <v>0.16665486770760801</v>
      </c>
      <c r="Q39" s="38" t="s">
        <v>43</v>
      </c>
      <c r="R39" s="38" t="s">
        <v>43</v>
      </c>
      <c r="S39" s="38" t="s">
        <v>43</v>
      </c>
      <c r="T39" s="38" t="s">
        <v>43</v>
      </c>
      <c r="U39" s="38"/>
      <c r="V39" s="38" t="s">
        <v>43</v>
      </c>
    </row>
    <row r="40" spans="1:22" ht="22.5" customHeight="1" x14ac:dyDescent="0.15">
      <c r="A40" s="38" t="s">
        <v>287</v>
      </c>
      <c r="B40" s="38" t="s">
        <v>84</v>
      </c>
      <c r="C40" s="34" t="s">
        <v>944</v>
      </c>
      <c r="D40" s="38" t="str">
        <f>VLOOKUP($A40,[1]Sheet1!$A$2:$G$249,2,FALSE)</f>
        <v>Americas</v>
      </c>
      <c r="E40" s="38" t="s">
        <v>86</v>
      </c>
      <c r="F40" s="38" t="s">
        <v>41</v>
      </c>
      <c r="G40" s="38"/>
      <c r="H40" s="38" t="s">
        <v>945</v>
      </c>
      <c r="I40" s="38" t="s">
        <v>43</v>
      </c>
      <c r="J40" s="38" t="s">
        <v>56</v>
      </c>
      <c r="K40" s="38"/>
      <c r="L40" s="38" t="s">
        <v>43</v>
      </c>
      <c r="M40" s="38"/>
      <c r="N40" s="38"/>
      <c r="O40" s="38"/>
      <c r="P40" s="44">
        <f>VLOOKUP(A40,[2]clean!$A$2:$F$160,6,FALSE)</f>
        <v>0.41909906828486598</v>
      </c>
      <c r="Q40" s="38" t="s">
        <v>43</v>
      </c>
      <c r="R40" s="38" t="s">
        <v>43</v>
      </c>
      <c r="S40" s="38" t="s">
        <v>43</v>
      </c>
      <c r="T40" s="38" t="s">
        <v>41</v>
      </c>
      <c r="U40" s="38" t="s">
        <v>89</v>
      </c>
      <c r="V40" s="38" t="s">
        <v>43</v>
      </c>
    </row>
    <row r="41" spans="1:22" ht="33.75" customHeight="1" x14ac:dyDescent="0.25">
      <c r="A41" s="38" t="s">
        <v>293</v>
      </c>
      <c r="B41" s="38" t="s">
        <v>145</v>
      </c>
      <c r="C41" s="34" t="s">
        <v>294</v>
      </c>
      <c r="D41" s="38" t="str">
        <f>VLOOKUP($A41,[1]Sheet1!$A$2:$G$249,2,FALSE)</f>
        <v>Africa</v>
      </c>
      <c r="E41" s="38" t="s">
        <v>73</v>
      </c>
      <c r="F41" s="38" t="s">
        <v>41</v>
      </c>
      <c r="G41" s="38"/>
      <c r="H41" s="38" t="s">
        <v>946</v>
      </c>
      <c r="I41" s="38" t="s">
        <v>41</v>
      </c>
      <c r="J41" s="32" t="s">
        <v>44</v>
      </c>
      <c r="K41" s="38" t="s">
        <v>45</v>
      </c>
      <c r="L41" s="38" t="s">
        <v>41</v>
      </c>
      <c r="M41" s="38" t="s">
        <v>41</v>
      </c>
      <c r="N41" s="38" t="s">
        <v>41</v>
      </c>
      <c r="O41" s="38"/>
      <c r="P41" s="44">
        <f>VLOOKUP(A41,[2]clean!$A$2:$F$160,6,FALSE)</f>
        <v>0.30116707923991598</v>
      </c>
      <c r="Q41" s="38" t="s">
        <v>41</v>
      </c>
      <c r="R41" s="38" t="s">
        <v>41</v>
      </c>
      <c r="S41" s="38" t="s">
        <v>43</v>
      </c>
      <c r="T41" s="38" t="s">
        <v>43</v>
      </c>
      <c r="U41" s="38" t="s">
        <v>79</v>
      </c>
      <c r="V41" s="38" t="s">
        <v>41</v>
      </c>
    </row>
    <row r="42" spans="1:22" ht="33.75" customHeight="1" x14ac:dyDescent="0.15">
      <c r="A42" s="38" t="s">
        <v>300</v>
      </c>
      <c r="B42" s="38" t="s">
        <v>64</v>
      </c>
      <c r="C42" s="34" t="s">
        <v>947</v>
      </c>
      <c r="D42" s="38" t="str">
        <f>VLOOKUP($A42,[1]Sheet1!$A$2:$G$249,2,FALSE)</f>
        <v>Africa</v>
      </c>
      <c r="E42" s="38" t="s">
        <v>73</v>
      </c>
      <c r="F42" s="38" t="s">
        <v>41</v>
      </c>
      <c r="G42" s="38"/>
      <c r="H42" s="38" t="s">
        <v>948</v>
      </c>
      <c r="I42" s="38" t="s">
        <v>41</v>
      </c>
      <c r="J42" s="36" t="s">
        <v>74</v>
      </c>
      <c r="K42" s="38"/>
      <c r="L42" s="38" t="s">
        <v>43</v>
      </c>
      <c r="M42" s="38"/>
      <c r="N42" s="38"/>
      <c r="O42" s="38"/>
      <c r="P42" s="44">
        <f>VLOOKUP(A42,[2]clean!$A$2:$F$160,6,FALSE)</f>
        <v>0.23091634440325001</v>
      </c>
      <c r="Q42" s="38" t="s">
        <v>43</v>
      </c>
      <c r="R42" s="38" t="s">
        <v>41</v>
      </c>
      <c r="S42" s="38" t="s">
        <v>43</v>
      </c>
      <c r="T42" s="38" t="s">
        <v>43</v>
      </c>
      <c r="U42" s="38" t="s">
        <v>208</v>
      </c>
      <c r="V42" s="38" t="s">
        <v>43</v>
      </c>
    </row>
    <row r="43" spans="1:22" ht="33.75" customHeight="1" x14ac:dyDescent="0.15">
      <c r="A43" s="38" t="s">
        <v>306</v>
      </c>
      <c r="B43" s="38" t="s">
        <v>84</v>
      </c>
      <c r="C43" s="34" t="s">
        <v>307</v>
      </c>
      <c r="D43" s="38" t="str">
        <f>VLOOKUP($A43,[1]Sheet1!$A$2:$G$249,2,FALSE)</f>
        <v>Americas</v>
      </c>
      <c r="E43" s="38" t="s">
        <v>86</v>
      </c>
      <c r="F43" s="38" t="s">
        <v>43</v>
      </c>
      <c r="G43" s="38" t="s">
        <v>87</v>
      </c>
      <c r="H43" s="38" t="s">
        <v>305</v>
      </c>
      <c r="I43" s="38" t="s">
        <v>43</v>
      </c>
      <c r="J43" s="38" t="s">
        <v>56</v>
      </c>
      <c r="K43" s="38"/>
      <c r="L43" s="38" t="s">
        <v>43</v>
      </c>
      <c r="M43" s="38"/>
      <c r="N43" s="38"/>
      <c r="O43" s="38"/>
      <c r="P43" s="44" t="e">
        <f>VLOOKUP(A43,[2]clean!$A$2:$F$160,6,FALSE)</f>
        <v>#N/A</v>
      </c>
      <c r="Q43" s="38" t="s">
        <v>43</v>
      </c>
      <c r="R43" s="38" t="s">
        <v>43</v>
      </c>
      <c r="S43" s="38" t="s">
        <v>43</v>
      </c>
      <c r="T43" s="38" t="s">
        <v>41</v>
      </c>
      <c r="U43" s="38" t="s">
        <v>89</v>
      </c>
      <c r="V43" s="38" t="s">
        <v>43</v>
      </c>
    </row>
    <row r="44" spans="1:22" ht="33.75" x14ac:dyDescent="0.15">
      <c r="A44" s="38" t="s">
        <v>309</v>
      </c>
      <c r="B44" s="38" t="s">
        <v>84</v>
      </c>
      <c r="C44" s="34" t="s">
        <v>949</v>
      </c>
      <c r="D44" s="38" t="str">
        <f>VLOOKUP($A44,[1]Sheet1!$A$2:$G$249,2,FALSE)</f>
        <v>Americas</v>
      </c>
      <c r="E44" s="38" t="s">
        <v>86</v>
      </c>
      <c r="F44" s="38" t="s">
        <v>41</v>
      </c>
      <c r="G44" s="38"/>
      <c r="H44" s="38" t="s">
        <v>950</v>
      </c>
      <c r="I44" s="38" t="s">
        <v>41</v>
      </c>
      <c r="J44" s="38" t="s">
        <v>56</v>
      </c>
      <c r="K44" s="38"/>
      <c r="L44" s="38" t="s">
        <v>43</v>
      </c>
      <c r="M44" s="38"/>
      <c r="N44" s="38"/>
      <c r="O44" s="38" t="s">
        <v>41</v>
      </c>
      <c r="P44" s="44">
        <f>VLOOKUP(A44,[2]clean!$A$2:$F$160,6,FALSE)</f>
        <v>0.31561726001576701</v>
      </c>
      <c r="Q44" s="38" t="s">
        <v>43</v>
      </c>
      <c r="R44" s="38" t="s">
        <v>43</v>
      </c>
      <c r="S44" s="38" t="s">
        <v>43</v>
      </c>
      <c r="T44" s="38" t="s">
        <v>41</v>
      </c>
      <c r="U44" s="38" t="s">
        <v>89</v>
      </c>
      <c r="V44" s="38" t="s">
        <v>43</v>
      </c>
    </row>
    <row r="45" spans="1:22" ht="33.75" customHeight="1" x14ac:dyDescent="0.25">
      <c r="A45" s="38" t="s">
        <v>315</v>
      </c>
      <c r="B45" s="38" t="s">
        <v>215</v>
      </c>
      <c r="C45" s="34" t="s">
        <v>951</v>
      </c>
      <c r="D45" s="38" t="str">
        <f>VLOOKUP($A45,[1]Sheet1!$A$2:$G$249,2,FALSE)</f>
        <v>Asia</v>
      </c>
      <c r="E45" s="38" t="s">
        <v>244</v>
      </c>
      <c r="F45" s="38" t="s">
        <v>41</v>
      </c>
      <c r="G45" s="38"/>
      <c r="H45" s="38" t="s">
        <v>952</v>
      </c>
      <c r="I45" s="38" t="s">
        <v>43</v>
      </c>
      <c r="J45" s="32" t="s">
        <v>44</v>
      </c>
      <c r="K45" s="38"/>
      <c r="L45" s="38" t="s">
        <v>43</v>
      </c>
      <c r="M45" s="38"/>
      <c r="N45" s="38"/>
      <c r="O45" s="38"/>
      <c r="P45" s="44">
        <f>VLOOKUP(A45,[2]clean!$A$2:$F$160,6,FALSE)</f>
        <v>0.37050454253374299</v>
      </c>
      <c r="Q45" s="38" t="s">
        <v>43</v>
      </c>
      <c r="R45" s="38" t="s">
        <v>43</v>
      </c>
      <c r="S45" s="38" t="s">
        <v>43</v>
      </c>
      <c r="T45" s="38" t="s">
        <v>43</v>
      </c>
      <c r="U45" s="38"/>
      <c r="V45" s="38" t="s">
        <v>43</v>
      </c>
    </row>
    <row r="46" spans="1:22" ht="33.75" customHeight="1" x14ac:dyDescent="0.15">
      <c r="A46" s="38" t="s">
        <v>321</v>
      </c>
      <c r="B46" s="38" t="s">
        <v>84</v>
      </c>
      <c r="C46" s="34" t="s">
        <v>953</v>
      </c>
      <c r="D46" s="38" t="str">
        <f>VLOOKUP($A46,[1]Sheet1!$A$2:$G$249,2,FALSE)</f>
        <v>Americas</v>
      </c>
      <c r="E46" s="38" t="s">
        <v>86</v>
      </c>
      <c r="F46" s="38" t="s">
        <v>41</v>
      </c>
      <c r="G46" s="38"/>
      <c r="H46" s="38" t="s">
        <v>320</v>
      </c>
      <c r="I46" s="38" t="s">
        <v>43</v>
      </c>
      <c r="J46" s="36" t="s">
        <v>56</v>
      </c>
      <c r="K46" s="38"/>
      <c r="L46" s="38" t="s">
        <v>43</v>
      </c>
      <c r="M46" s="38"/>
      <c r="N46" s="38"/>
      <c r="O46" s="38" t="s">
        <v>41</v>
      </c>
      <c r="P46" s="44">
        <f>VLOOKUP(A46,[2]clean!$A$2:$F$160,6,FALSE)</f>
        <v>0.382130388931542</v>
      </c>
      <c r="Q46" s="38" t="s">
        <v>43</v>
      </c>
      <c r="R46" s="38" t="s">
        <v>43</v>
      </c>
      <c r="S46" s="38" t="s">
        <v>43</v>
      </c>
      <c r="T46" s="38" t="s">
        <v>43</v>
      </c>
      <c r="U46" s="38" t="s">
        <v>100</v>
      </c>
      <c r="V46" s="38" t="s">
        <v>43</v>
      </c>
    </row>
    <row r="47" spans="1:22" ht="33.75" customHeight="1" x14ac:dyDescent="0.25">
      <c r="A47" s="38" t="s">
        <v>327</v>
      </c>
      <c r="B47" s="38" t="s">
        <v>64</v>
      </c>
      <c r="C47" s="34" t="s">
        <v>954</v>
      </c>
      <c r="D47" s="38" t="str">
        <f>VLOOKUP($A47,[1]Sheet1!$A$2:$G$249,2,FALSE)</f>
        <v>Africa</v>
      </c>
      <c r="E47" s="38" t="s">
        <v>66</v>
      </c>
      <c r="F47" s="38" t="s">
        <v>41</v>
      </c>
      <c r="G47" s="38"/>
      <c r="H47" s="38" t="s">
        <v>326</v>
      </c>
      <c r="I47" s="38" t="s">
        <v>43</v>
      </c>
      <c r="J47" s="32" t="s">
        <v>74</v>
      </c>
      <c r="K47" s="38"/>
      <c r="L47" s="38" t="s">
        <v>43</v>
      </c>
      <c r="M47" s="38"/>
      <c r="N47" s="38"/>
      <c r="O47" s="38" t="s">
        <v>41</v>
      </c>
      <c r="P47" s="44">
        <f>VLOOKUP(A47,[2]clean!$A$2:$F$160,6,FALSE)</f>
        <v>0.35237527503793897</v>
      </c>
      <c r="Q47" s="38" t="s">
        <v>43</v>
      </c>
      <c r="R47" s="38" t="s">
        <v>43</v>
      </c>
      <c r="S47" s="38" t="s">
        <v>43</v>
      </c>
      <c r="T47" s="38" t="s">
        <v>43</v>
      </c>
      <c r="U47" s="38"/>
      <c r="V47" s="38" t="s">
        <v>43</v>
      </c>
    </row>
    <row r="48" spans="1:22" s="49" customFormat="1" ht="33.75" customHeight="1" x14ac:dyDescent="0.15">
      <c r="A48" s="38" t="s">
        <v>333</v>
      </c>
      <c r="B48" s="38" t="s">
        <v>84</v>
      </c>
      <c r="C48" s="34" t="s">
        <v>955</v>
      </c>
      <c r="D48" s="38" t="str">
        <f>VLOOKUP($A48,[1]Sheet1!$A$2:$G$249,2,FALSE)</f>
        <v>Americas</v>
      </c>
      <c r="E48" s="38" t="s">
        <v>86</v>
      </c>
      <c r="F48" s="38" t="s">
        <v>41</v>
      </c>
      <c r="G48" s="38"/>
      <c r="H48" s="38" t="s">
        <v>956</v>
      </c>
      <c r="I48" s="38" t="s">
        <v>43</v>
      </c>
      <c r="J48" s="36" t="s">
        <v>56</v>
      </c>
      <c r="K48" s="38"/>
      <c r="L48" s="38" t="s">
        <v>43</v>
      </c>
      <c r="M48" s="38" t="s">
        <v>41</v>
      </c>
      <c r="N48" s="38"/>
      <c r="O48" s="38" t="s">
        <v>41</v>
      </c>
      <c r="P48" s="44">
        <f>VLOOKUP(A48,[2]clean!$A$2:$F$160,6,FALSE)</f>
        <v>0.54835108058237403</v>
      </c>
      <c r="Q48" s="38" t="s">
        <v>43</v>
      </c>
      <c r="R48" s="38" t="s">
        <v>43</v>
      </c>
      <c r="S48" s="38" t="s">
        <v>43</v>
      </c>
      <c r="T48" s="38" t="s">
        <v>43</v>
      </c>
      <c r="U48" s="38" t="s">
        <v>142</v>
      </c>
      <c r="V48" s="38" t="s">
        <v>41</v>
      </c>
    </row>
    <row r="49" spans="1:22" ht="33.75" x14ac:dyDescent="0.15">
      <c r="A49" s="38" t="s">
        <v>339</v>
      </c>
      <c r="B49" s="38" t="s">
        <v>145</v>
      </c>
      <c r="C49" s="34" t="s">
        <v>957</v>
      </c>
      <c r="D49" s="38" t="str">
        <f>VLOOKUP($A49,[1]Sheet1!$A$2:$G$249,2,FALSE)</f>
        <v>Africa</v>
      </c>
      <c r="E49" s="38" t="s">
        <v>73</v>
      </c>
      <c r="F49" s="38" t="s">
        <v>41</v>
      </c>
      <c r="G49" s="38"/>
      <c r="H49" s="38" t="s">
        <v>958</v>
      </c>
      <c r="I49" s="38" t="s">
        <v>43</v>
      </c>
      <c r="J49" s="38" t="s">
        <v>56</v>
      </c>
      <c r="K49" s="38"/>
      <c r="L49" s="38" t="s">
        <v>43</v>
      </c>
      <c r="M49" s="38"/>
      <c r="N49" s="38"/>
      <c r="O49" s="38"/>
      <c r="P49" s="44">
        <f>VLOOKUP(A49,[2]clean!$A$2:$F$160,6,FALSE)</f>
        <v>0.41697062930474399</v>
      </c>
      <c r="Q49" s="38" t="s">
        <v>43</v>
      </c>
      <c r="R49" s="38" t="s">
        <v>43</v>
      </c>
      <c r="S49" s="38" t="s">
        <v>43</v>
      </c>
      <c r="T49" s="38" t="s">
        <v>43</v>
      </c>
      <c r="U49" s="38" t="s">
        <v>79</v>
      </c>
      <c r="V49" s="38" t="s">
        <v>43</v>
      </c>
    </row>
    <row r="50" spans="1:22" ht="45" x14ac:dyDescent="0.15">
      <c r="A50" s="38" t="s">
        <v>344</v>
      </c>
      <c r="B50" s="38" t="s">
        <v>72</v>
      </c>
      <c r="C50" s="34" t="s">
        <v>959</v>
      </c>
      <c r="D50" s="38" t="str">
        <f>VLOOKUP($A50,[1]Sheet1!$A$2:$G$249,2,FALSE)</f>
        <v>Africa</v>
      </c>
      <c r="E50" s="38" t="s">
        <v>73</v>
      </c>
      <c r="F50" s="38" t="s">
        <v>41</v>
      </c>
      <c r="G50" s="38"/>
      <c r="H50" s="38" t="s">
        <v>960</v>
      </c>
      <c r="I50" s="38" t="s">
        <v>43</v>
      </c>
      <c r="J50" s="38" t="s">
        <v>44</v>
      </c>
      <c r="K50" s="38" t="s">
        <v>203</v>
      </c>
      <c r="L50" s="38" t="s">
        <v>41</v>
      </c>
      <c r="M50" s="38"/>
      <c r="N50" s="38"/>
      <c r="O50" s="38"/>
      <c r="P50" s="44">
        <f>VLOOKUP(A50,[2]clean!$A$2:$F$160,6,FALSE)</f>
        <v>0.29119507564993202</v>
      </c>
      <c r="Q50" s="38" t="s">
        <v>43</v>
      </c>
      <c r="R50" s="38" t="s">
        <v>41</v>
      </c>
      <c r="S50" s="38" t="s">
        <v>43</v>
      </c>
      <c r="T50" s="38" t="s">
        <v>43</v>
      </c>
      <c r="U50" s="38" t="s">
        <v>208</v>
      </c>
      <c r="V50" s="38" t="s">
        <v>43</v>
      </c>
    </row>
    <row r="51" spans="1:22" ht="33.75" customHeight="1" x14ac:dyDescent="0.15">
      <c r="A51" s="38" t="s">
        <v>350</v>
      </c>
      <c r="B51" s="38" t="s">
        <v>72</v>
      </c>
      <c r="C51" s="34" t="s">
        <v>961</v>
      </c>
      <c r="D51" s="38" t="str">
        <f>VLOOKUP($A51,[1]Sheet1!$A$2:$G$249,2,FALSE)</f>
        <v>Africa</v>
      </c>
      <c r="E51" s="38" t="s">
        <v>73</v>
      </c>
      <c r="F51" s="38" t="s">
        <v>41</v>
      </c>
      <c r="G51" s="38"/>
      <c r="H51" s="38" t="s">
        <v>962</v>
      </c>
      <c r="I51" s="38" t="s">
        <v>41</v>
      </c>
      <c r="J51" s="38" t="s">
        <v>74</v>
      </c>
      <c r="K51" s="38"/>
      <c r="L51" s="38" t="s">
        <v>43</v>
      </c>
      <c r="M51" s="38"/>
      <c r="N51" s="38"/>
      <c r="O51" s="38"/>
      <c r="P51" s="44">
        <f>VLOOKUP(A51,[2]clean!$A$2:$F$160,6,FALSE)</f>
        <v>0.21846465689998201</v>
      </c>
      <c r="Q51" s="38" t="s">
        <v>43</v>
      </c>
      <c r="R51" s="38" t="s">
        <v>43</v>
      </c>
      <c r="S51" s="38" t="s">
        <v>41</v>
      </c>
      <c r="T51" s="38" t="s">
        <v>43</v>
      </c>
      <c r="U51" s="38" t="s">
        <v>176</v>
      </c>
      <c r="V51" s="38" t="s">
        <v>43</v>
      </c>
    </row>
    <row r="52" spans="1:22" ht="22.5" x14ac:dyDescent="0.15">
      <c r="A52" s="38" t="s">
        <v>355</v>
      </c>
      <c r="B52" s="38" t="s">
        <v>72</v>
      </c>
      <c r="C52" s="34" t="s">
        <v>963</v>
      </c>
      <c r="D52" s="38" t="str">
        <f>VLOOKUP($A52,[1]Sheet1!$A$2:$G$249,2,FALSE)</f>
        <v>Africa</v>
      </c>
      <c r="E52" s="38" t="s">
        <v>73</v>
      </c>
      <c r="F52" s="38" t="s">
        <v>41</v>
      </c>
      <c r="G52" s="38"/>
      <c r="H52" s="38" t="s">
        <v>354</v>
      </c>
      <c r="I52" s="38" t="s">
        <v>41</v>
      </c>
      <c r="J52" s="38" t="s">
        <v>44</v>
      </c>
      <c r="K52" s="38" t="s">
        <v>45</v>
      </c>
      <c r="L52" s="38" t="s">
        <v>41</v>
      </c>
      <c r="M52" s="38" t="s">
        <v>41</v>
      </c>
      <c r="N52" s="38" t="s">
        <v>41</v>
      </c>
      <c r="O52" s="38"/>
      <c r="P52" s="44">
        <f>VLOOKUP(A52,[2]clean!$A$2:$F$160,6,FALSE)</f>
        <v>0.49731013782850197</v>
      </c>
      <c r="Q52" s="38" t="s">
        <v>41</v>
      </c>
      <c r="R52" s="38" t="s">
        <v>41</v>
      </c>
      <c r="S52" s="38" t="s">
        <v>41</v>
      </c>
      <c r="T52" s="38" t="s">
        <v>43</v>
      </c>
      <c r="U52" s="38" t="s">
        <v>208</v>
      </c>
      <c r="V52" s="38" t="s">
        <v>41</v>
      </c>
    </row>
    <row r="53" spans="1:22" ht="56.25" x14ac:dyDescent="0.15">
      <c r="A53" s="48" t="s">
        <v>267</v>
      </c>
      <c r="B53" s="48" t="s">
        <v>215</v>
      </c>
      <c r="C53" s="35" t="s">
        <v>361</v>
      </c>
      <c r="D53" s="48" t="str">
        <f>VLOOKUP($A53,[1]Sheet1!$A$2:$G$249,2,FALSE)</f>
        <v>Oceania</v>
      </c>
      <c r="E53" s="48" t="s">
        <v>362</v>
      </c>
      <c r="F53" s="38" t="s">
        <v>41</v>
      </c>
      <c r="G53" s="38" t="s">
        <v>271</v>
      </c>
      <c r="H53" s="48" t="s">
        <v>360</v>
      </c>
      <c r="I53" s="48" t="s">
        <v>43</v>
      </c>
      <c r="J53" s="48" t="s">
        <v>56</v>
      </c>
      <c r="K53" s="48"/>
      <c r="L53" s="48" t="s">
        <v>43</v>
      </c>
      <c r="M53" s="48"/>
      <c r="N53" s="38"/>
      <c r="O53" s="38"/>
      <c r="P53" s="50">
        <f>VLOOKUP(A53,[2]clean!$A$2:$F$160,6,FALSE)</f>
        <v>0.31167369768286501</v>
      </c>
      <c r="Q53" s="48" t="s">
        <v>43</v>
      </c>
      <c r="R53" s="48" t="s">
        <v>43</v>
      </c>
      <c r="S53" s="48" t="s">
        <v>43</v>
      </c>
      <c r="T53" s="48" t="s">
        <v>41</v>
      </c>
      <c r="U53" s="48"/>
      <c r="V53" s="48" t="s">
        <v>43</v>
      </c>
    </row>
    <row r="54" spans="1:22" ht="33.75" x14ac:dyDescent="0.15">
      <c r="A54" s="38" t="s">
        <v>267</v>
      </c>
      <c r="B54" s="38" t="s">
        <v>215</v>
      </c>
      <c r="C54" s="34" t="s">
        <v>964</v>
      </c>
      <c r="D54" s="38" t="str">
        <f>VLOOKUP($A54,[1]Sheet1!$A$2:$G$249,2,FALSE)</f>
        <v>Oceania</v>
      </c>
      <c r="E54" s="38" t="s">
        <v>362</v>
      </c>
      <c r="F54" s="38" t="s">
        <v>41</v>
      </c>
      <c r="G54" s="38"/>
      <c r="H54" s="38" t="s">
        <v>360</v>
      </c>
      <c r="I54" s="38" t="s">
        <v>43</v>
      </c>
      <c r="J54" s="38" t="s">
        <v>56</v>
      </c>
      <c r="K54" s="38"/>
      <c r="L54" s="38" t="s">
        <v>43</v>
      </c>
      <c r="M54" s="38"/>
      <c r="N54" s="38"/>
      <c r="O54" s="38"/>
      <c r="P54" s="44">
        <f>VLOOKUP(A54,[2]clean!$A$2:$F$160,6,FALSE)</f>
        <v>0.31167369768286501</v>
      </c>
      <c r="Q54" s="38" t="s">
        <v>43</v>
      </c>
      <c r="R54" s="38" t="s">
        <v>43</v>
      </c>
      <c r="S54" s="38" t="s">
        <v>43</v>
      </c>
      <c r="T54" s="38" t="s">
        <v>41</v>
      </c>
      <c r="U54" s="38"/>
      <c r="V54" s="38" t="s">
        <v>43</v>
      </c>
    </row>
    <row r="55" spans="1:22" ht="33.75" x14ac:dyDescent="0.15">
      <c r="A55" s="38" t="s">
        <v>368</v>
      </c>
      <c r="B55" s="38" t="s">
        <v>145</v>
      </c>
      <c r="C55" s="34" t="s">
        <v>965</v>
      </c>
      <c r="D55" s="38" t="str">
        <f>VLOOKUP($A55,[1]Sheet1!$A$2:$G$249,2,FALSE)</f>
        <v>Africa</v>
      </c>
      <c r="E55" s="38" t="s">
        <v>73</v>
      </c>
      <c r="F55" s="38" t="s">
        <v>41</v>
      </c>
      <c r="G55" s="38"/>
      <c r="H55" s="38" t="s">
        <v>367</v>
      </c>
      <c r="I55" s="38" t="s">
        <v>43</v>
      </c>
      <c r="J55" s="38" t="s">
        <v>56</v>
      </c>
      <c r="K55" s="38"/>
      <c r="L55" s="38" t="s">
        <v>43</v>
      </c>
      <c r="M55" s="38"/>
      <c r="N55" s="38"/>
      <c r="O55" s="38"/>
      <c r="P55" s="44">
        <f>VLOOKUP(A55,[2]clean!$A$2:$F$160,6,FALSE)</f>
        <v>0.47188743268088201</v>
      </c>
      <c r="Q55" s="38" t="s">
        <v>43</v>
      </c>
      <c r="R55" s="38" t="s">
        <v>43</v>
      </c>
      <c r="S55" s="38" t="s">
        <v>43</v>
      </c>
      <c r="T55" s="38" t="s">
        <v>43</v>
      </c>
      <c r="U55" s="38" t="s">
        <v>79</v>
      </c>
      <c r="V55" s="38" t="s">
        <v>43</v>
      </c>
    </row>
    <row r="56" spans="1:22" ht="22.5" x14ac:dyDescent="0.15">
      <c r="A56" s="38" t="s">
        <v>372</v>
      </c>
      <c r="B56" s="38" t="s">
        <v>145</v>
      </c>
      <c r="C56" s="34" t="s">
        <v>966</v>
      </c>
      <c r="D56" s="38" t="str">
        <f>VLOOKUP($A56,[1]Sheet1!$A$2:$G$249,2,FALSE)</f>
        <v>Africa</v>
      </c>
      <c r="E56" s="38" t="s">
        <v>73</v>
      </c>
      <c r="F56" s="38" t="s">
        <v>41</v>
      </c>
      <c r="G56" s="38"/>
      <c r="H56" s="38" t="s">
        <v>967</v>
      </c>
      <c r="I56" s="38" t="s">
        <v>43</v>
      </c>
      <c r="J56" s="38" t="s">
        <v>44</v>
      </c>
      <c r="K56" s="38"/>
      <c r="L56" s="38" t="s">
        <v>43</v>
      </c>
      <c r="M56" s="38"/>
      <c r="N56" s="38"/>
      <c r="O56" s="38"/>
      <c r="P56" s="44">
        <f>VLOOKUP(A56,[2]clean!$A$2:$F$160,6,FALSE)</f>
        <v>9.9126863027052398E-2</v>
      </c>
      <c r="Q56" s="38" t="s">
        <v>43</v>
      </c>
      <c r="R56" s="38" t="s">
        <v>41</v>
      </c>
      <c r="S56" s="38" t="s">
        <v>43</v>
      </c>
      <c r="T56" s="38" t="s">
        <v>43</v>
      </c>
      <c r="U56" s="38" t="s">
        <v>150</v>
      </c>
      <c r="V56" s="38" t="s">
        <v>43</v>
      </c>
    </row>
    <row r="57" spans="1:22" ht="33.75" x14ac:dyDescent="0.15">
      <c r="A57" s="38" t="s">
        <v>378</v>
      </c>
      <c r="B57" s="38" t="s">
        <v>53</v>
      </c>
      <c r="C57" s="34" t="s">
        <v>968</v>
      </c>
      <c r="D57" s="38" t="str">
        <f>VLOOKUP($A57,[1]Sheet1!$A$2:$G$249,2,FALSE)</f>
        <v>Asia</v>
      </c>
      <c r="E57" s="38" t="s">
        <v>104</v>
      </c>
      <c r="F57" s="38" t="s">
        <v>41</v>
      </c>
      <c r="G57" s="38"/>
      <c r="H57" s="38" t="s">
        <v>377</v>
      </c>
      <c r="I57" s="38" t="s">
        <v>43</v>
      </c>
      <c r="J57" s="38" t="s">
        <v>56</v>
      </c>
      <c r="K57" s="38"/>
      <c r="L57" s="38" t="s">
        <v>43</v>
      </c>
      <c r="M57" s="38"/>
      <c r="N57" s="38"/>
      <c r="O57" s="38"/>
      <c r="P57" s="44">
        <f>VLOOKUP(A57,[2]clean!$A$2:$F$160,6,FALSE)</f>
        <v>8.8715065732366899E-2</v>
      </c>
      <c r="Q57" s="38" t="s">
        <v>43</v>
      </c>
      <c r="R57" s="38" t="s">
        <v>43</v>
      </c>
      <c r="S57" s="38" t="s">
        <v>43</v>
      </c>
      <c r="T57" s="38" t="s">
        <v>43</v>
      </c>
      <c r="U57" s="38"/>
      <c r="V57" s="38" t="s">
        <v>43</v>
      </c>
    </row>
    <row r="58" spans="1:22" ht="33.75" customHeight="1" x14ac:dyDescent="0.15">
      <c r="A58" s="38" t="s">
        <v>383</v>
      </c>
      <c r="B58" s="38" t="s">
        <v>145</v>
      </c>
      <c r="C58" s="34" t="s">
        <v>969</v>
      </c>
      <c r="D58" s="38" t="str">
        <f>VLOOKUP($A58,[1]Sheet1!$A$2:$G$249,2,FALSE)</f>
        <v>Africa</v>
      </c>
      <c r="E58" s="38" t="s">
        <v>73</v>
      </c>
      <c r="F58" s="38" t="s">
        <v>41</v>
      </c>
      <c r="G58" s="38"/>
      <c r="H58" s="38" t="s">
        <v>382</v>
      </c>
      <c r="I58" s="38" t="s">
        <v>41</v>
      </c>
      <c r="J58" s="38" t="s">
        <v>74</v>
      </c>
      <c r="K58" s="38"/>
      <c r="L58" s="38" t="s">
        <v>43</v>
      </c>
      <c r="M58" s="38"/>
      <c r="N58" s="38"/>
      <c r="O58" s="38" t="s">
        <v>41</v>
      </c>
      <c r="P58" s="44">
        <f>VLOOKUP(A58,[2]clean!$A$2:$F$160,6,FALSE)</f>
        <v>8.3876573078283306E-2</v>
      </c>
      <c r="Q58" s="38" t="s">
        <v>41</v>
      </c>
      <c r="R58" s="38" t="s">
        <v>43</v>
      </c>
      <c r="S58" s="38" t="s">
        <v>43</v>
      </c>
      <c r="T58" s="38" t="s">
        <v>43</v>
      </c>
      <c r="U58" s="38" t="s">
        <v>150</v>
      </c>
      <c r="V58" s="38" t="s">
        <v>43</v>
      </c>
    </row>
    <row r="59" spans="1:22" ht="22.5" x14ac:dyDescent="0.15">
      <c r="A59" s="38" t="s">
        <v>389</v>
      </c>
      <c r="B59" s="38" t="s">
        <v>53</v>
      </c>
      <c r="C59" s="34" t="s">
        <v>970</v>
      </c>
      <c r="D59" s="38" t="str">
        <f>VLOOKUP($A59,[1]Sheet1!$A$2:$G$249,2,FALSE)</f>
        <v>Europe</v>
      </c>
      <c r="E59" s="38" t="s">
        <v>55</v>
      </c>
      <c r="F59" s="38" t="s">
        <v>41</v>
      </c>
      <c r="G59" s="38"/>
      <c r="H59" s="38" t="s">
        <v>388</v>
      </c>
      <c r="I59" s="38" t="s">
        <v>43</v>
      </c>
      <c r="J59" s="38" t="s">
        <v>93</v>
      </c>
      <c r="K59" s="38"/>
      <c r="L59" s="38" t="s">
        <v>43</v>
      </c>
      <c r="M59" s="38"/>
      <c r="N59" s="38"/>
      <c r="O59" s="38"/>
      <c r="P59" s="44">
        <f>VLOOKUP(A59,[2]clean!$A$2:$F$160,6,FALSE)</f>
        <v>7.7880504286149094E-2</v>
      </c>
      <c r="Q59" s="38" t="s">
        <v>43</v>
      </c>
      <c r="R59" s="38" t="s">
        <v>43</v>
      </c>
      <c r="S59" s="38" t="s">
        <v>43</v>
      </c>
      <c r="T59" s="38" t="s">
        <v>43</v>
      </c>
      <c r="U59" s="38"/>
      <c r="V59" s="38" t="s">
        <v>43</v>
      </c>
    </row>
    <row r="60" spans="1:22" ht="22.5" customHeight="1" x14ac:dyDescent="0.15">
      <c r="A60" s="38" t="s">
        <v>393</v>
      </c>
      <c r="B60" s="38" t="s">
        <v>84</v>
      </c>
      <c r="C60" s="34" t="s">
        <v>394</v>
      </c>
      <c r="D60" s="38" t="str">
        <f>VLOOKUP($A60,[1]Sheet1!$A$2:$G$249,2,FALSE)</f>
        <v>Americas</v>
      </c>
      <c r="E60" s="38" t="s">
        <v>86</v>
      </c>
      <c r="F60" s="38" t="s">
        <v>43</v>
      </c>
      <c r="G60" s="38" t="s">
        <v>87</v>
      </c>
      <c r="H60" s="38" t="s">
        <v>392</v>
      </c>
      <c r="I60" s="38" t="s">
        <v>43</v>
      </c>
      <c r="J60" s="38" t="s">
        <v>56</v>
      </c>
      <c r="K60" s="38"/>
      <c r="L60" s="38" t="s">
        <v>43</v>
      </c>
      <c r="M60" s="38"/>
      <c r="N60" s="38"/>
      <c r="O60" s="38"/>
      <c r="P60" s="44" t="e">
        <f>VLOOKUP(A60,[2]clean!$A$2:$F$160,6,FALSE)</f>
        <v>#N/A</v>
      </c>
      <c r="Q60" s="38" t="s">
        <v>43</v>
      </c>
      <c r="R60" s="38" t="s">
        <v>43</v>
      </c>
      <c r="S60" s="38" t="s">
        <v>43</v>
      </c>
      <c r="T60" s="38" t="s">
        <v>41</v>
      </c>
      <c r="U60" s="38" t="s">
        <v>89</v>
      </c>
      <c r="V60" s="38" t="s">
        <v>43</v>
      </c>
    </row>
    <row r="61" spans="1:22" ht="22.5" customHeight="1" x14ac:dyDescent="0.15">
      <c r="A61" s="38" t="s">
        <v>396</v>
      </c>
      <c r="B61" s="38" t="s">
        <v>84</v>
      </c>
      <c r="C61" s="34" t="s">
        <v>971</v>
      </c>
      <c r="D61" s="38" t="str">
        <f>VLOOKUP($A61,[1]Sheet1!$A$2:$G$249,2,FALSE)</f>
        <v>Americas</v>
      </c>
      <c r="E61" s="38" t="s">
        <v>86</v>
      </c>
      <c r="F61" s="38" t="s">
        <v>41</v>
      </c>
      <c r="G61" s="38"/>
      <c r="H61" s="38" t="s">
        <v>972</v>
      </c>
      <c r="I61" s="38" t="s">
        <v>43</v>
      </c>
      <c r="J61" s="38" t="s">
        <v>56</v>
      </c>
      <c r="K61" s="38"/>
      <c r="L61" s="38" t="s">
        <v>43</v>
      </c>
      <c r="M61" s="38"/>
      <c r="N61" s="38"/>
      <c r="O61" s="38" t="s">
        <v>41</v>
      </c>
      <c r="P61" s="44">
        <f>VLOOKUP(A61,[2]clean!$A$2:$F$160,6,FALSE)</f>
        <v>0.25331058043545202</v>
      </c>
      <c r="Q61" s="38" t="s">
        <v>43</v>
      </c>
      <c r="R61" s="38" t="s">
        <v>43</v>
      </c>
      <c r="S61" s="38" t="s">
        <v>43</v>
      </c>
      <c r="T61" s="38" t="s">
        <v>43</v>
      </c>
      <c r="U61" s="38" t="s">
        <v>142</v>
      </c>
      <c r="V61" s="38" t="s">
        <v>41</v>
      </c>
    </row>
    <row r="62" spans="1:22" ht="33.75" x14ac:dyDescent="0.15">
      <c r="A62" s="38" t="s">
        <v>402</v>
      </c>
      <c r="B62" s="38" t="s">
        <v>145</v>
      </c>
      <c r="C62" s="34" t="s">
        <v>973</v>
      </c>
      <c r="D62" s="38" t="str">
        <f>VLOOKUP($A62,[1]Sheet1!$A$2:$G$249,2,FALSE)</f>
        <v>Africa</v>
      </c>
      <c r="E62" s="38" t="s">
        <v>73</v>
      </c>
      <c r="F62" s="38" t="s">
        <v>41</v>
      </c>
      <c r="G62" s="38"/>
      <c r="H62" s="38" t="s">
        <v>974</v>
      </c>
      <c r="I62" s="38" t="s">
        <v>43</v>
      </c>
      <c r="J62" s="38" t="s">
        <v>74</v>
      </c>
      <c r="K62" s="38"/>
      <c r="L62" s="38" t="s">
        <v>43</v>
      </c>
      <c r="M62" s="38"/>
      <c r="N62" s="38"/>
      <c r="O62" s="38"/>
      <c r="P62" s="44">
        <f>VLOOKUP(A62,[2]clean!$A$2:$F$160,6,FALSE)</f>
        <v>0.11816157933584</v>
      </c>
      <c r="Q62" s="38" t="s">
        <v>41</v>
      </c>
      <c r="R62" s="38" t="s">
        <v>41</v>
      </c>
      <c r="S62" s="38" t="s">
        <v>43</v>
      </c>
      <c r="T62" s="38" t="s">
        <v>43</v>
      </c>
      <c r="U62" s="38" t="s">
        <v>150</v>
      </c>
      <c r="V62" s="38" t="s">
        <v>43</v>
      </c>
    </row>
    <row r="63" spans="1:22" ht="33.75" customHeight="1" x14ac:dyDescent="0.15">
      <c r="A63" s="38" t="s">
        <v>408</v>
      </c>
      <c r="B63" s="38" t="s">
        <v>145</v>
      </c>
      <c r="C63" s="34" t="s">
        <v>975</v>
      </c>
      <c r="D63" s="38" t="str">
        <f>VLOOKUP($A63,[1]Sheet1!$A$2:$G$249,2,FALSE)</f>
        <v>Africa</v>
      </c>
      <c r="E63" s="38" t="s">
        <v>73</v>
      </c>
      <c r="F63" s="38" t="s">
        <v>41</v>
      </c>
      <c r="G63" s="38"/>
      <c r="H63" s="38" t="s">
        <v>976</v>
      </c>
      <c r="I63" s="38" t="s">
        <v>43</v>
      </c>
      <c r="J63" s="38" t="s">
        <v>44</v>
      </c>
      <c r="K63" s="38" t="s">
        <v>203</v>
      </c>
      <c r="L63" s="38" t="s">
        <v>43</v>
      </c>
      <c r="M63" s="38"/>
      <c r="N63" s="38"/>
      <c r="O63" s="38"/>
      <c r="P63" s="44">
        <f>VLOOKUP(A63,[2]clean!$A$2:$F$160,6,FALSE)</f>
        <v>0.13008990268852599</v>
      </c>
      <c r="Q63" s="38" t="s">
        <v>43</v>
      </c>
      <c r="R63" s="38" t="s">
        <v>41</v>
      </c>
      <c r="S63" s="38" t="s">
        <v>43</v>
      </c>
      <c r="T63" s="38" t="s">
        <v>41</v>
      </c>
      <c r="U63" s="38" t="s">
        <v>150</v>
      </c>
      <c r="V63" s="38" t="s">
        <v>43</v>
      </c>
    </row>
    <row r="64" spans="1:22" ht="56.25" x14ac:dyDescent="0.15">
      <c r="A64" s="48" t="s">
        <v>413</v>
      </c>
      <c r="B64" s="48" t="s">
        <v>84</v>
      </c>
      <c r="C64" s="35" t="s">
        <v>414</v>
      </c>
      <c r="D64" s="48" t="str">
        <f>VLOOKUP($A64,[1]Sheet1!$A$2:$G$249,2,FALSE)</f>
        <v>Americas</v>
      </c>
      <c r="E64" s="48" t="s">
        <v>86</v>
      </c>
      <c r="F64" s="38" t="s">
        <v>41</v>
      </c>
      <c r="G64" s="38" t="s">
        <v>415</v>
      </c>
      <c r="H64" s="48" t="s">
        <v>412</v>
      </c>
      <c r="I64" s="48" t="s">
        <v>43</v>
      </c>
      <c r="J64" s="48" t="s">
        <v>93</v>
      </c>
      <c r="K64" s="48"/>
      <c r="L64" s="48" t="s">
        <v>43</v>
      </c>
      <c r="M64" s="48"/>
      <c r="N64" s="38"/>
      <c r="O64" s="38" t="s">
        <v>41</v>
      </c>
      <c r="P64" s="50">
        <f>VLOOKUP(A64,[2]clean!$A$2:$F$160,6,FALSE)</f>
        <v>0.21859861503660399</v>
      </c>
      <c r="Q64" s="48" t="s">
        <v>43</v>
      </c>
      <c r="R64" s="48" t="s">
        <v>43</v>
      </c>
      <c r="S64" s="48" t="s">
        <v>43</v>
      </c>
      <c r="T64" s="48" t="s">
        <v>41</v>
      </c>
      <c r="U64" s="48" t="s">
        <v>100</v>
      </c>
      <c r="V64" s="48" t="s">
        <v>43</v>
      </c>
    </row>
    <row r="65" spans="1:22" ht="56.25" customHeight="1" x14ac:dyDescent="0.15">
      <c r="A65" s="38" t="s">
        <v>413</v>
      </c>
      <c r="B65" s="38" t="s">
        <v>84</v>
      </c>
      <c r="C65" s="34" t="s">
        <v>977</v>
      </c>
      <c r="D65" s="38" t="str">
        <f>VLOOKUP($A65,[1]Sheet1!$A$2:$G$249,2,FALSE)</f>
        <v>Americas</v>
      </c>
      <c r="E65" s="38" t="s">
        <v>86</v>
      </c>
      <c r="F65" s="38" t="s">
        <v>41</v>
      </c>
      <c r="G65" s="38"/>
      <c r="H65" s="38" t="s">
        <v>412</v>
      </c>
      <c r="I65" s="38" t="s">
        <v>43</v>
      </c>
      <c r="J65" s="38" t="s">
        <v>93</v>
      </c>
      <c r="K65" s="38"/>
      <c r="L65" s="38" t="s">
        <v>43</v>
      </c>
      <c r="M65" s="38"/>
      <c r="N65" s="38"/>
      <c r="O65" s="38" t="s">
        <v>41</v>
      </c>
      <c r="P65" s="44">
        <f>VLOOKUP(A65,[2]clean!$A$2:$F$160,6,FALSE)</f>
        <v>0.21859861503660399</v>
      </c>
      <c r="Q65" s="38" t="s">
        <v>43</v>
      </c>
      <c r="R65" s="38" t="s">
        <v>43</v>
      </c>
      <c r="S65" s="38" t="s">
        <v>43</v>
      </c>
      <c r="T65" s="38" t="s">
        <v>41</v>
      </c>
      <c r="U65" s="38" t="s">
        <v>100</v>
      </c>
      <c r="V65" s="38" t="s">
        <v>43</v>
      </c>
    </row>
    <row r="66" spans="1:22" ht="45" x14ac:dyDescent="0.15">
      <c r="A66" s="38" t="s">
        <v>419</v>
      </c>
      <c r="B66" s="38" t="s">
        <v>84</v>
      </c>
      <c r="C66" s="34" t="s">
        <v>978</v>
      </c>
      <c r="D66" s="38" t="str">
        <f>VLOOKUP($A66,[1]Sheet1!$A$2:$G$249,2,FALSE)</f>
        <v>Americas</v>
      </c>
      <c r="E66" s="38" t="s">
        <v>86</v>
      </c>
      <c r="F66" s="38" t="s">
        <v>41</v>
      </c>
      <c r="G66" s="38"/>
      <c r="H66" s="38" t="s">
        <v>418</v>
      </c>
      <c r="I66" s="38" t="s">
        <v>41</v>
      </c>
      <c r="J66" s="38" t="s">
        <v>74</v>
      </c>
      <c r="K66" s="38" t="s">
        <v>203</v>
      </c>
      <c r="L66" s="38" t="s">
        <v>41</v>
      </c>
      <c r="M66" s="38" t="s">
        <v>41</v>
      </c>
      <c r="N66" s="38" t="s">
        <v>41</v>
      </c>
      <c r="O66" s="38"/>
      <c r="P66" s="44">
        <f>VLOOKUP(A66,[2]clean!$A$2:$F$160,6,FALSE)</f>
        <v>0.54860976240098802</v>
      </c>
      <c r="Q66" s="38" t="s">
        <v>41</v>
      </c>
      <c r="R66" s="38" t="s">
        <v>41</v>
      </c>
      <c r="S66" s="38" t="s">
        <v>43</v>
      </c>
      <c r="T66" s="38" t="s">
        <v>41</v>
      </c>
      <c r="U66" s="38" t="s">
        <v>89</v>
      </c>
      <c r="V66" s="38" t="s">
        <v>41</v>
      </c>
    </row>
    <row r="67" spans="1:22" ht="45" customHeight="1" x14ac:dyDescent="0.15">
      <c r="A67" s="38" t="s">
        <v>425</v>
      </c>
      <c r="B67" s="38" t="s">
        <v>84</v>
      </c>
      <c r="C67" s="34" t="s">
        <v>979</v>
      </c>
      <c r="D67" s="38" t="str">
        <f>VLOOKUP($A67,[1]Sheet1!$A$2:$G$249,2,FALSE)</f>
        <v>Americas</v>
      </c>
      <c r="E67" s="38" t="s">
        <v>86</v>
      </c>
      <c r="F67" s="38" t="s">
        <v>41</v>
      </c>
      <c r="G67" s="38"/>
      <c r="H67" s="38" t="s">
        <v>980</v>
      </c>
      <c r="I67" s="38" t="s">
        <v>43</v>
      </c>
      <c r="J67" s="38" t="s">
        <v>74</v>
      </c>
      <c r="K67" s="38"/>
      <c r="L67" s="38" t="s">
        <v>43</v>
      </c>
      <c r="M67" s="38" t="s">
        <v>41</v>
      </c>
      <c r="N67" s="38"/>
      <c r="O67" s="38" t="s">
        <v>41</v>
      </c>
      <c r="P67" s="44">
        <f>VLOOKUP(A67,[2]clean!$A$2:$F$160,6,FALSE)</f>
        <v>0.66048382439041498</v>
      </c>
      <c r="Q67" s="38" t="s">
        <v>43</v>
      </c>
      <c r="R67" s="38" t="s">
        <v>43</v>
      </c>
      <c r="S67" s="38" t="s">
        <v>43</v>
      </c>
      <c r="T67" s="38" t="s">
        <v>43</v>
      </c>
      <c r="U67" s="38" t="s">
        <v>142</v>
      </c>
      <c r="V67" s="38" t="s">
        <v>41</v>
      </c>
    </row>
    <row r="68" spans="1:22" ht="33.75" customHeight="1" x14ac:dyDescent="0.15">
      <c r="A68" s="38" t="s">
        <v>431</v>
      </c>
      <c r="B68" s="38" t="s">
        <v>38</v>
      </c>
      <c r="C68" s="34" t="s">
        <v>981</v>
      </c>
      <c r="D68" s="38" t="str">
        <f>VLOOKUP($A68,[1]Sheet1!$A$2:$G$249,2,FALSE)</f>
        <v>Asia</v>
      </c>
      <c r="E68" s="38" t="s">
        <v>40</v>
      </c>
      <c r="F68" s="38" t="s">
        <v>41</v>
      </c>
      <c r="G68" s="38"/>
      <c r="H68" s="38" t="s">
        <v>430</v>
      </c>
      <c r="I68" s="38" t="s">
        <v>41</v>
      </c>
      <c r="J68" s="38" t="s">
        <v>74</v>
      </c>
      <c r="K68" s="38"/>
      <c r="L68" s="38" t="s">
        <v>43</v>
      </c>
      <c r="M68" s="38"/>
      <c r="N68" s="38"/>
      <c r="O68" s="38"/>
      <c r="P68" s="44">
        <f>VLOOKUP(A68,[2]clean!$A$2:$F$160,6,FALSE)</f>
        <v>4.0287482434391397E-2</v>
      </c>
      <c r="Q68" s="38" t="s">
        <v>41</v>
      </c>
      <c r="R68" s="38" t="s">
        <v>43</v>
      </c>
      <c r="S68" s="38" t="s">
        <v>43</v>
      </c>
      <c r="T68" s="38" t="s">
        <v>43</v>
      </c>
      <c r="U68" s="38"/>
      <c r="V68" s="38" t="s">
        <v>43</v>
      </c>
    </row>
    <row r="69" spans="1:22" ht="33.75" customHeight="1" x14ac:dyDescent="0.15">
      <c r="A69" s="38" t="s">
        <v>437</v>
      </c>
      <c r="B69" s="38" t="s">
        <v>215</v>
      </c>
      <c r="C69" s="34" t="s">
        <v>982</v>
      </c>
      <c r="D69" s="38" t="str">
        <f>VLOOKUP($A69,[1]Sheet1!$A$2:$G$249,2,FALSE)</f>
        <v>Asia</v>
      </c>
      <c r="E69" s="38" t="s">
        <v>216</v>
      </c>
      <c r="F69" s="38" t="s">
        <v>41</v>
      </c>
      <c r="G69" s="38"/>
      <c r="H69" s="38" t="s">
        <v>983</v>
      </c>
      <c r="I69" s="38" t="s">
        <v>41</v>
      </c>
      <c r="J69" s="38" t="s">
        <v>56</v>
      </c>
      <c r="K69" s="38"/>
      <c r="L69" s="38" t="s">
        <v>43</v>
      </c>
      <c r="M69" s="38"/>
      <c r="N69" s="38"/>
      <c r="O69" s="38"/>
      <c r="P69" s="44">
        <f>VLOOKUP(A69,[2]clean!$A$2:$F$160,6,FALSE)</f>
        <v>0.24460471409687101</v>
      </c>
      <c r="Q69" s="38" t="s">
        <v>41</v>
      </c>
      <c r="R69" s="38" t="s">
        <v>43</v>
      </c>
      <c r="S69" s="38" t="s">
        <v>43</v>
      </c>
      <c r="T69" s="38" t="s">
        <v>43</v>
      </c>
      <c r="U69" s="38"/>
      <c r="V69" s="38" t="s">
        <v>43</v>
      </c>
    </row>
    <row r="70" spans="1:22" ht="33.75" customHeight="1" x14ac:dyDescent="0.15">
      <c r="A70" s="38" t="s">
        <v>443</v>
      </c>
      <c r="B70" s="38" t="s">
        <v>64</v>
      </c>
      <c r="C70" s="34" t="s">
        <v>984</v>
      </c>
      <c r="D70" s="38" t="str">
        <f>VLOOKUP($A70,[1]Sheet1!$A$2:$G$249,2,FALSE)</f>
        <v>Asia</v>
      </c>
      <c r="E70" s="38" t="s">
        <v>40</v>
      </c>
      <c r="F70" s="38" t="s">
        <v>41</v>
      </c>
      <c r="G70" s="38"/>
      <c r="H70" s="38" t="s">
        <v>442</v>
      </c>
      <c r="I70" s="38" t="s">
        <v>41</v>
      </c>
      <c r="J70" s="38" t="s">
        <v>56</v>
      </c>
      <c r="K70" s="38"/>
      <c r="L70" s="38" t="s">
        <v>43</v>
      </c>
      <c r="M70" s="38"/>
      <c r="N70" s="38"/>
      <c r="O70" s="38"/>
      <c r="P70" s="44">
        <f>VLOOKUP(A70,[2]clean!$A$2:$F$160,6,FALSE)</f>
        <v>0.57957709249510803</v>
      </c>
      <c r="Q70" s="38" t="s">
        <v>43</v>
      </c>
      <c r="R70" s="38" t="s">
        <v>43</v>
      </c>
      <c r="S70" s="38" t="s">
        <v>43</v>
      </c>
      <c r="T70" s="38" t="s">
        <v>43</v>
      </c>
      <c r="U70" s="38"/>
      <c r="V70" s="38" t="s">
        <v>43</v>
      </c>
    </row>
    <row r="71" spans="1:22" ht="23.65" customHeight="1" x14ac:dyDescent="0.15">
      <c r="A71" s="38" t="s">
        <v>449</v>
      </c>
      <c r="B71" s="38" t="s">
        <v>64</v>
      </c>
      <c r="C71" s="34" t="s">
        <v>985</v>
      </c>
      <c r="D71" s="38" t="str">
        <f>VLOOKUP($A71,[1]Sheet1!$A$2:$G$249,2,FALSE)</f>
        <v>Asia</v>
      </c>
      <c r="E71" s="38" t="s">
        <v>104</v>
      </c>
      <c r="F71" s="38" t="s">
        <v>41</v>
      </c>
      <c r="G71" s="38"/>
      <c r="H71" s="38" t="s">
        <v>448</v>
      </c>
      <c r="I71" s="38" t="s">
        <v>43</v>
      </c>
      <c r="J71" s="38" t="s">
        <v>56</v>
      </c>
      <c r="K71" s="38" t="s">
        <v>45</v>
      </c>
      <c r="L71" s="38" t="s">
        <v>41</v>
      </c>
      <c r="M71" s="38" t="s">
        <v>41</v>
      </c>
      <c r="N71" s="38" t="s">
        <v>41</v>
      </c>
      <c r="O71" s="38" t="s">
        <v>41</v>
      </c>
      <c r="P71" s="44">
        <f>VLOOKUP(A71,[2]clean!$A$2:$F$160,6,FALSE)</f>
        <v>0.24022847058390001</v>
      </c>
      <c r="Q71" s="38" t="s">
        <v>43</v>
      </c>
      <c r="R71" s="38" t="s">
        <v>43</v>
      </c>
      <c r="S71" s="38" t="s">
        <v>43</v>
      </c>
      <c r="T71" s="38" t="s">
        <v>43</v>
      </c>
      <c r="U71" s="38"/>
      <c r="V71" s="38" t="s">
        <v>43</v>
      </c>
    </row>
    <row r="72" spans="1:22" ht="33.75" customHeight="1" x14ac:dyDescent="0.15">
      <c r="A72" s="38" t="s">
        <v>455</v>
      </c>
      <c r="B72" s="38" t="s">
        <v>84</v>
      </c>
      <c r="C72" s="34" t="s">
        <v>986</v>
      </c>
      <c r="D72" s="38" t="str">
        <f>VLOOKUP($A72,[1]Sheet1!$A$2:$G$249,2,FALSE)</f>
        <v>Americas</v>
      </c>
      <c r="E72" s="38" t="s">
        <v>86</v>
      </c>
      <c r="F72" s="38" t="s">
        <v>41</v>
      </c>
      <c r="G72" s="38"/>
      <c r="H72" s="38" t="s">
        <v>454</v>
      </c>
      <c r="I72" s="38" t="s">
        <v>43</v>
      </c>
      <c r="J72" s="38" t="s">
        <v>56</v>
      </c>
      <c r="K72" s="38"/>
      <c r="L72" s="38" t="s">
        <v>43</v>
      </c>
      <c r="M72" s="38"/>
      <c r="N72" s="38"/>
      <c r="O72" s="38"/>
      <c r="P72" s="44">
        <f>VLOOKUP(A72,[2]clean!$A$2:$F$160,6,FALSE)</f>
        <v>3.3389975708414399E-2</v>
      </c>
      <c r="Q72" s="38" t="s">
        <v>43</v>
      </c>
      <c r="R72" s="38" t="s">
        <v>43</v>
      </c>
      <c r="S72" s="38" t="s">
        <v>43</v>
      </c>
      <c r="T72" s="38" t="s">
        <v>41</v>
      </c>
      <c r="U72" s="38" t="s">
        <v>89</v>
      </c>
      <c r="V72" s="38" t="s">
        <v>43</v>
      </c>
    </row>
    <row r="73" spans="1:22" ht="33.75" x14ac:dyDescent="0.15">
      <c r="A73" s="38" t="s">
        <v>460</v>
      </c>
      <c r="B73" s="38" t="s">
        <v>64</v>
      </c>
      <c r="C73" s="34" t="s">
        <v>987</v>
      </c>
      <c r="D73" s="38" t="str">
        <f>VLOOKUP($A73,[1]Sheet1!$A$2:$G$249,2,FALSE)</f>
        <v>Asia</v>
      </c>
      <c r="E73" s="38" t="s">
        <v>104</v>
      </c>
      <c r="F73" s="38" t="s">
        <v>41</v>
      </c>
      <c r="G73" s="38"/>
      <c r="H73" s="38" t="s">
        <v>988</v>
      </c>
      <c r="I73" s="38" t="s">
        <v>43</v>
      </c>
      <c r="J73" s="38" t="s">
        <v>74</v>
      </c>
      <c r="K73" s="38"/>
      <c r="L73" s="38" t="s">
        <v>43</v>
      </c>
      <c r="M73" s="38"/>
      <c r="N73" s="38"/>
      <c r="O73" s="38" t="s">
        <v>41</v>
      </c>
      <c r="P73" s="44">
        <f>VLOOKUP(A73,[2]clean!$A$2:$F$160,6,FALSE)</f>
        <v>0.43332689190321499</v>
      </c>
      <c r="Q73" s="38" t="s">
        <v>43</v>
      </c>
      <c r="R73" s="38" t="s">
        <v>43</v>
      </c>
      <c r="S73" s="38" t="s">
        <v>43</v>
      </c>
      <c r="T73" s="38" t="s">
        <v>43</v>
      </c>
      <c r="U73" s="38"/>
      <c r="V73" s="38" t="s">
        <v>43</v>
      </c>
    </row>
    <row r="74" spans="1:22" ht="33.75" x14ac:dyDescent="0.15">
      <c r="A74" s="38" t="s">
        <v>466</v>
      </c>
      <c r="B74" s="38" t="s">
        <v>53</v>
      </c>
      <c r="C74" s="34" t="s">
        <v>989</v>
      </c>
      <c r="D74" s="38" t="str">
        <f>VLOOKUP($A74,[1]Sheet1!$A$2:$G$249,2,FALSE)</f>
        <v>Asia</v>
      </c>
      <c r="E74" s="38" t="s">
        <v>467</v>
      </c>
      <c r="F74" s="38" t="s">
        <v>41</v>
      </c>
      <c r="G74" s="38"/>
      <c r="H74" s="38" t="s">
        <v>465</v>
      </c>
      <c r="I74" s="38" t="s">
        <v>43</v>
      </c>
      <c r="J74" s="38" t="s">
        <v>56</v>
      </c>
      <c r="K74" s="38"/>
      <c r="L74" s="38" t="s">
        <v>43</v>
      </c>
      <c r="M74" s="38"/>
      <c r="N74" s="38"/>
      <c r="O74" s="38"/>
      <c r="P74" s="44">
        <f>VLOOKUP(A74,[2]clean!$A$2:$F$160,6,FALSE)</f>
        <v>4.7808707346624402E-2</v>
      </c>
      <c r="Q74" s="38" t="s">
        <v>43</v>
      </c>
      <c r="R74" s="38" t="s">
        <v>43</v>
      </c>
      <c r="S74" s="38" t="s">
        <v>41</v>
      </c>
      <c r="T74" s="38" t="s">
        <v>43</v>
      </c>
      <c r="U74" s="38"/>
      <c r="V74" s="38" t="s">
        <v>43</v>
      </c>
    </row>
    <row r="75" spans="1:22" ht="33.75" customHeight="1" x14ac:dyDescent="0.15">
      <c r="A75" s="38" t="s">
        <v>472</v>
      </c>
      <c r="B75" s="38" t="s">
        <v>72</v>
      </c>
      <c r="C75" s="34" t="s">
        <v>990</v>
      </c>
      <c r="D75" s="38" t="str">
        <f>VLOOKUP($A75,[1]Sheet1!$A$2:$G$249,2,FALSE)</f>
        <v>Africa</v>
      </c>
      <c r="E75" s="38" t="s">
        <v>73</v>
      </c>
      <c r="F75" s="38" t="s">
        <v>41</v>
      </c>
      <c r="G75" s="38"/>
      <c r="H75" s="38" t="s">
        <v>471</v>
      </c>
      <c r="I75" s="38" t="s">
        <v>41</v>
      </c>
      <c r="J75" s="38" t="s">
        <v>74</v>
      </c>
      <c r="K75" s="38"/>
      <c r="L75" s="38" t="s">
        <v>43</v>
      </c>
      <c r="M75" s="38" t="s">
        <v>41</v>
      </c>
      <c r="N75" s="38" t="s">
        <v>41</v>
      </c>
      <c r="O75" s="38"/>
      <c r="P75" s="44">
        <f>VLOOKUP(A75,[2]clean!$A$2:$F$160,6,FALSE)</f>
        <v>0.36764496808890001</v>
      </c>
      <c r="Q75" s="38" t="s">
        <v>41</v>
      </c>
      <c r="R75" s="38" t="s">
        <v>43</v>
      </c>
      <c r="S75" s="38" t="s">
        <v>43</v>
      </c>
      <c r="T75" s="38" t="s">
        <v>43</v>
      </c>
      <c r="U75" s="38" t="s">
        <v>208</v>
      </c>
      <c r="V75" s="38" t="s">
        <v>43</v>
      </c>
    </row>
    <row r="76" spans="1:22" ht="33.75" customHeight="1" x14ac:dyDescent="0.15">
      <c r="A76" s="38" t="s">
        <v>478</v>
      </c>
      <c r="B76" s="38" t="s">
        <v>215</v>
      </c>
      <c r="C76" s="34" t="s">
        <v>479</v>
      </c>
      <c r="D76" s="38" t="str">
        <f>VLOOKUP($A76,[1]Sheet1!$A$2:$G$249,2,FALSE)</f>
        <v>Oceania</v>
      </c>
      <c r="E76" s="38" t="s">
        <v>480</v>
      </c>
      <c r="F76" s="38" t="s">
        <v>43</v>
      </c>
      <c r="G76" s="38" t="s">
        <v>271</v>
      </c>
      <c r="H76" s="38" t="s">
        <v>477</v>
      </c>
      <c r="I76" s="38" t="s">
        <v>43</v>
      </c>
      <c r="J76" s="38" t="s">
        <v>74</v>
      </c>
      <c r="K76" s="38" t="s">
        <v>203</v>
      </c>
      <c r="L76" s="38" t="s">
        <v>43</v>
      </c>
      <c r="M76" s="38"/>
      <c r="N76" s="38"/>
      <c r="O76" s="38"/>
      <c r="P76" s="44" t="e">
        <f>VLOOKUP(A76,[2]clean!$A$2:$F$160,6,FALSE)</f>
        <v>#N/A</v>
      </c>
      <c r="Q76" s="38" t="s">
        <v>43</v>
      </c>
      <c r="R76" s="38" t="s">
        <v>41</v>
      </c>
      <c r="S76" s="38" t="s">
        <v>43</v>
      </c>
      <c r="T76" s="38" t="s">
        <v>41</v>
      </c>
      <c r="U76" s="38"/>
      <c r="V76" s="38" t="s">
        <v>43</v>
      </c>
    </row>
    <row r="77" spans="1:22" ht="23.65" customHeight="1" x14ac:dyDescent="0.15">
      <c r="A77" s="38" t="s">
        <v>482</v>
      </c>
      <c r="B77" s="38" t="s">
        <v>53</v>
      </c>
      <c r="C77" s="34" t="s">
        <v>991</v>
      </c>
      <c r="D77" s="38" t="s">
        <v>54</v>
      </c>
      <c r="E77" s="39" t="s">
        <v>55</v>
      </c>
      <c r="F77" s="39" t="s">
        <v>41</v>
      </c>
      <c r="G77" s="38"/>
      <c r="H77" s="38" t="s">
        <v>992</v>
      </c>
      <c r="I77" s="38" t="s">
        <v>43</v>
      </c>
      <c r="J77" s="38" t="s">
        <v>56</v>
      </c>
      <c r="K77" s="38" t="s">
        <v>203</v>
      </c>
      <c r="L77" s="38" t="s">
        <v>43</v>
      </c>
      <c r="M77" s="38"/>
      <c r="N77" s="38"/>
      <c r="O77" s="38"/>
      <c r="P77" s="44">
        <f>VLOOKUP(A77,[2]clean!$A$2:$F$160,6,FALSE)</f>
        <v>1.9090356793681401E-2</v>
      </c>
      <c r="Q77" s="38" t="s">
        <v>43</v>
      </c>
      <c r="R77" s="39" t="s">
        <v>43</v>
      </c>
      <c r="S77" s="39" t="s">
        <v>43</v>
      </c>
      <c r="T77" s="39" t="s">
        <v>43</v>
      </c>
      <c r="U77" s="39"/>
      <c r="V77" s="38" t="s">
        <v>43</v>
      </c>
    </row>
    <row r="78" spans="1:22" ht="45" customHeight="1" x14ac:dyDescent="0.15">
      <c r="A78" s="38" t="s">
        <v>487</v>
      </c>
      <c r="B78" s="38" t="s">
        <v>64</v>
      </c>
      <c r="C78" s="34" t="s">
        <v>488</v>
      </c>
      <c r="D78" s="38" t="str">
        <f>VLOOKUP($A78,[1]Sheet1!$A$2:$G$249,2,FALSE)</f>
        <v>Asia</v>
      </c>
      <c r="E78" s="38" t="s">
        <v>104</v>
      </c>
      <c r="F78" s="38" t="s">
        <v>43</v>
      </c>
      <c r="G78" s="38" t="s">
        <v>117</v>
      </c>
      <c r="H78" s="38" t="s">
        <v>486</v>
      </c>
      <c r="I78" s="38" t="s">
        <v>43</v>
      </c>
      <c r="J78" s="38" t="s">
        <v>93</v>
      </c>
      <c r="K78" s="38"/>
      <c r="L78" s="38" t="s">
        <v>43</v>
      </c>
      <c r="M78" s="38"/>
      <c r="N78" s="38"/>
      <c r="O78" s="38"/>
      <c r="P78" s="44" t="e">
        <f>VLOOKUP(A78,[2]clean!$A$2:$F$160,6,FALSE)</f>
        <v>#N/A</v>
      </c>
      <c r="Q78" s="38" t="s">
        <v>43</v>
      </c>
      <c r="R78" s="38" t="s">
        <v>43</v>
      </c>
      <c r="S78" s="38" t="s">
        <v>43</v>
      </c>
      <c r="T78" s="38" t="s">
        <v>43</v>
      </c>
      <c r="U78" s="38"/>
      <c r="V78" s="38" t="s">
        <v>43</v>
      </c>
    </row>
    <row r="79" spans="1:22" ht="14.25" customHeight="1" x14ac:dyDescent="0.15">
      <c r="A79" s="38" t="s">
        <v>490</v>
      </c>
      <c r="B79" s="38" t="s">
        <v>215</v>
      </c>
      <c r="C79" s="34" t="s">
        <v>993</v>
      </c>
      <c r="D79" s="38" t="str">
        <f>VLOOKUP($A79,[1]Sheet1!$A$2:$G$249,2,FALSE)</f>
        <v>Asia</v>
      </c>
      <c r="E79" s="38" t="s">
        <v>216</v>
      </c>
      <c r="F79" s="38" t="s">
        <v>41</v>
      </c>
      <c r="G79" s="38"/>
      <c r="H79" s="38" t="s">
        <v>489</v>
      </c>
      <c r="I79" s="38" t="s">
        <v>43</v>
      </c>
      <c r="J79" s="38" t="s">
        <v>74</v>
      </c>
      <c r="K79" s="38"/>
      <c r="L79" s="38" t="s">
        <v>43</v>
      </c>
      <c r="M79" s="38"/>
      <c r="N79" s="38"/>
      <c r="O79" s="38"/>
      <c r="P79" s="44">
        <f>VLOOKUP(A79,[2]clean!$A$2:$F$160,6,FALSE)</f>
        <v>0.156474896254373</v>
      </c>
      <c r="Q79" s="38" t="s">
        <v>43</v>
      </c>
      <c r="R79" s="38" t="s">
        <v>41</v>
      </c>
      <c r="S79" s="38" t="s">
        <v>41</v>
      </c>
      <c r="T79" s="38" t="s">
        <v>43</v>
      </c>
      <c r="U79" s="38"/>
      <c r="V79" s="38" t="s">
        <v>43</v>
      </c>
    </row>
    <row r="80" spans="1:22" ht="45" x14ac:dyDescent="0.15">
      <c r="A80" s="38" t="s">
        <v>496</v>
      </c>
      <c r="B80" s="38" t="s">
        <v>64</v>
      </c>
      <c r="C80" s="34" t="s">
        <v>994</v>
      </c>
      <c r="D80" s="38" t="str">
        <f>VLOOKUP($A80,[1]Sheet1!$A$2:$G$249,2,FALSE)</f>
        <v>Asia</v>
      </c>
      <c r="E80" s="38" t="s">
        <v>104</v>
      </c>
      <c r="F80" s="38" t="s">
        <v>41</v>
      </c>
      <c r="G80" s="38"/>
      <c r="H80" s="38" t="s">
        <v>995</v>
      </c>
      <c r="I80" s="38" t="s">
        <v>43</v>
      </c>
      <c r="J80" s="38" t="s">
        <v>74</v>
      </c>
      <c r="K80" s="38" t="s">
        <v>203</v>
      </c>
      <c r="L80" s="38" t="s">
        <v>41</v>
      </c>
      <c r="M80" s="38"/>
      <c r="N80" s="38"/>
      <c r="O80" s="38" t="s">
        <v>41</v>
      </c>
      <c r="P80" s="44">
        <f>VLOOKUP(A80,[2]clean!$A$2:$F$160,6,FALSE)</f>
        <v>0.29432783853889</v>
      </c>
      <c r="Q80" s="38" t="s">
        <v>43</v>
      </c>
      <c r="R80" s="38" t="s">
        <v>43</v>
      </c>
      <c r="S80" s="38" t="s">
        <v>43</v>
      </c>
      <c r="T80" s="38" t="s">
        <v>43</v>
      </c>
      <c r="U80" s="38"/>
      <c r="V80" s="38" t="s">
        <v>43</v>
      </c>
    </row>
    <row r="81" spans="1:22" ht="33.75" x14ac:dyDescent="0.15">
      <c r="A81" s="38" t="s">
        <v>502</v>
      </c>
      <c r="B81" s="38" t="s">
        <v>72</v>
      </c>
      <c r="C81" s="34" t="s">
        <v>996</v>
      </c>
      <c r="D81" s="38" t="str">
        <f>VLOOKUP($A81,[1]Sheet1!$A$2:$G$249,2,FALSE)</f>
        <v>Africa</v>
      </c>
      <c r="E81" s="38" t="s">
        <v>73</v>
      </c>
      <c r="F81" s="38" t="s">
        <v>41</v>
      </c>
      <c r="G81" s="38"/>
      <c r="H81" s="38" t="s">
        <v>997</v>
      </c>
      <c r="I81" s="38" t="s">
        <v>41</v>
      </c>
      <c r="J81" s="38" t="s">
        <v>74</v>
      </c>
      <c r="K81" s="38"/>
      <c r="L81" s="38" t="s">
        <v>43</v>
      </c>
      <c r="M81" s="38"/>
      <c r="N81" s="38"/>
      <c r="O81" s="38"/>
      <c r="P81" s="44">
        <f>VLOOKUP(A81,[2]clean!$A$2:$F$160,6,FALSE)</f>
        <v>0.33993091483540799</v>
      </c>
      <c r="Q81" s="38" t="s">
        <v>43</v>
      </c>
      <c r="R81" s="38" t="s">
        <v>41</v>
      </c>
      <c r="S81" s="38" t="s">
        <v>41</v>
      </c>
      <c r="T81" s="38" t="s">
        <v>43</v>
      </c>
      <c r="U81" s="38" t="s">
        <v>176</v>
      </c>
      <c r="V81" s="38" t="s">
        <v>43</v>
      </c>
    </row>
    <row r="82" spans="1:22" s="49" customFormat="1" ht="22.5" x14ac:dyDescent="0.15">
      <c r="A82" s="38" t="s">
        <v>508</v>
      </c>
      <c r="B82" s="38" t="s">
        <v>145</v>
      </c>
      <c r="C82" s="34" t="s">
        <v>998</v>
      </c>
      <c r="D82" s="38" t="str">
        <f>VLOOKUP($A82,[1]Sheet1!$A$2:$G$249,2,FALSE)</f>
        <v>Africa</v>
      </c>
      <c r="E82" s="38" t="s">
        <v>73</v>
      </c>
      <c r="F82" s="38" t="s">
        <v>41</v>
      </c>
      <c r="G82" s="38"/>
      <c r="H82" s="38" t="s">
        <v>507</v>
      </c>
      <c r="I82" s="38" t="s">
        <v>43</v>
      </c>
      <c r="J82" s="38" t="s">
        <v>44</v>
      </c>
      <c r="K82" s="38"/>
      <c r="L82" s="38" t="s">
        <v>43</v>
      </c>
      <c r="M82" s="38"/>
      <c r="N82" s="38"/>
      <c r="O82" s="38"/>
      <c r="P82" s="44">
        <f>VLOOKUP(A82,[2]clean!$A$2:$F$160,6,FALSE)</f>
        <v>0.216812116629924</v>
      </c>
      <c r="Q82" s="38" t="s">
        <v>41</v>
      </c>
      <c r="R82" s="38" t="s">
        <v>41</v>
      </c>
      <c r="S82" s="38" t="s">
        <v>43</v>
      </c>
      <c r="T82" s="38" t="s">
        <v>43</v>
      </c>
      <c r="U82" s="38" t="s">
        <v>150</v>
      </c>
      <c r="V82" s="38" t="s">
        <v>43</v>
      </c>
    </row>
    <row r="83" spans="1:22" ht="22.5" customHeight="1" x14ac:dyDescent="0.15">
      <c r="A83" s="38" t="s">
        <v>513</v>
      </c>
      <c r="B83" s="38" t="s">
        <v>64</v>
      </c>
      <c r="C83" s="34" t="s">
        <v>999</v>
      </c>
      <c r="D83" s="38" t="str">
        <f>VLOOKUP($A83,[1]Sheet1!$A$2:$G$249,2,FALSE)</f>
        <v>Africa</v>
      </c>
      <c r="E83" s="38" t="s">
        <v>66</v>
      </c>
      <c r="F83" s="38" t="s">
        <v>41</v>
      </c>
      <c r="G83" s="38"/>
      <c r="H83" s="38" t="s">
        <v>512</v>
      </c>
      <c r="I83" s="38" t="s">
        <v>43</v>
      </c>
      <c r="J83" s="38" t="s">
        <v>56</v>
      </c>
      <c r="K83" s="38" t="s">
        <v>203</v>
      </c>
      <c r="L83" s="38" t="s">
        <v>41</v>
      </c>
      <c r="M83" s="38"/>
      <c r="N83" s="38"/>
      <c r="O83" s="38"/>
      <c r="P83" s="44">
        <f>VLOOKUP(A83,[2]clean!$A$2:$F$160,6,FALSE)</f>
        <v>0.55944999053265398</v>
      </c>
      <c r="Q83" s="38" t="s">
        <v>43</v>
      </c>
      <c r="R83" s="38" t="s">
        <v>43</v>
      </c>
      <c r="S83" s="38" t="s">
        <v>43</v>
      </c>
      <c r="T83" s="38" t="s">
        <v>43</v>
      </c>
      <c r="U83" s="38"/>
      <c r="V83" s="38" t="s">
        <v>43</v>
      </c>
    </row>
    <row r="84" spans="1:22" ht="22.5" x14ac:dyDescent="0.15">
      <c r="A84" s="38" t="s">
        <v>519</v>
      </c>
      <c r="B84" s="38" t="s">
        <v>72</v>
      </c>
      <c r="C84" s="34" t="s">
        <v>1000</v>
      </c>
      <c r="D84" s="38" t="str">
        <f>VLOOKUP($A84,[1]Sheet1!$A$2:$G$249,2,FALSE)</f>
        <v>Africa</v>
      </c>
      <c r="E84" s="38" t="s">
        <v>73</v>
      </c>
      <c r="F84" s="38" t="s">
        <v>41</v>
      </c>
      <c r="G84" s="38"/>
      <c r="H84" s="38" t="s">
        <v>518</v>
      </c>
      <c r="I84" s="38" t="s">
        <v>43</v>
      </c>
      <c r="J84" s="38" t="s">
        <v>44</v>
      </c>
      <c r="K84" s="38"/>
      <c r="L84" s="38" t="s">
        <v>41</v>
      </c>
      <c r="M84" s="38" t="s">
        <v>41</v>
      </c>
      <c r="N84" s="38" t="s">
        <v>41</v>
      </c>
      <c r="O84" s="38"/>
      <c r="P84" s="44">
        <f>VLOOKUP(A84,[2]clean!$A$2:$F$160,6,FALSE)</f>
        <v>0.24095498394571399</v>
      </c>
      <c r="Q84" s="38" t="s">
        <v>41</v>
      </c>
      <c r="R84" s="38" t="s">
        <v>41</v>
      </c>
      <c r="S84" s="38" t="s">
        <v>43</v>
      </c>
      <c r="T84" s="38" t="s">
        <v>43</v>
      </c>
      <c r="U84" s="38" t="s">
        <v>208</v>
      </c>
      <c r="V84" s="38" t="s">
        <v>43</v>
      </c>
    </row>
    <row r="85" spans="1:22" ht="22.5" x14ac:dyDescent="0.15">
      <c r="A85" s="38" t="s">
        <v>525</v>
      </c>
      <c r="B85" s="38" t="s">
        <v>72</v>
      </c>
      <c r="C85" s="34" t="s">
        <v>1001</v>
      </c>
      <c r="D85" s="38" t="str">
        <f>VLOOKUP($A85,[1]Sheet1!$A$2:$G$249,2,FALSE)</f>
        <v>Africa</v>
      </c>
      <c r="E85" s="38" t="s">
        <v>73</v>
      </c>
      <c r="F85" s="38" t="s">
        <v>41</v>
      </c>
      <c r="G85" s="38"/>
      <c r="H85" s="38" t="s">
        <v>1002</v>
      </c>
      <c r="I85" s="38" t="s">
        <v>41</v>
      </c>
      <c r="J85" s="38" t="s">
        <v>44</v>
      </c>
      <c r="K85" s="38"/>
      <c r="L85" s="38" t="s">
        <v>43</v>
      </c>
      <c r="M85" s="38" t="s">
        <v>41</v>
      </c>
      <c r="N85" s="38" t="s">
        <v>41</v>
      </c>
      <c r="O85" s="38"/>
      <c r="P85" s="44">
        <f>VLOOKUP(A85,[2]clean!$A$2:$F$160,6,FALSE)</f>
        <v>0.293015573213392</v>
      </c>
      <c r="Q85" s="38" t="s">
        <v>41</v>
      </c>
      <c r="R85" s="38" t="s">
        <v>41</v>
      </c>
      <c r="S85" s="38" t="s">
        <v>41</v>
      </c>
      <c r="T85" s="38" t="s">
        <v>43</v>
      </c>
      <c r="U85" s="38" t="s">
        <v>208</v>
      </c>
      <c r="V85" s="38" t="s">
        <v>43</v>
      </c>
    </row>
    <row r="86" spans="1:22" ht="33.75" x14ac:dyDescent="0.15">
      <c r="A86" s="38" t="s">
        <v>531</v>
      </c>
      <c r="B86" s="38" t="s">
        <v>215</v>
      </c>
      <c r="C86" s="34" t="s">
        <v>1003</v>
      </c>
      <c r="D86" s="38" t="str">
        <f>VLOOKUP($A86,[1]Sheet1!$A$2:$G$249,2,FALSE)</f>
        <v>Asia</v>
      </c>
      <c r="E86" s="38" t="s">
        <v>216</v>
      </c>
      <c r="F86" s="38" t="s">
        <v>41</v>
      </c>
      <c r="G86" s="38"/>
      <c r="H86" s="38" t="s">
        <v>1004</v>
      </c>
      <c r="I86" s="38" t="s">
        <v>43</v>
      </c>
      <c r="J86" s="38" t="s">
        <v>56</v>
      </c>
      <c r="K86" s="38"/>
      <c r="L86" s="38" t="s">
        <v>43</v>
      </c>
      <c r="M86" s="38"/>
      <c r="N86" s="38"/>
      <c r="O86" s="38"/>
      <c r="P86" s="44">
        <f>VLOOKUP(A86,[2]clean!$A$2:$F$160,6,FALSE)</f>
        <v>2.67503255391495E-4</v>
      </c>
      <c r="Q86" s="38" t="s">
        <v>43</v>
      </c>
      <c r="R86" s="38" t="s">
        <v>43</v>
      </c>
      <c r="S86" s="38" t="s">
        <v>43</v>
      </c>
      <c r="T86" s="38" t="s">
        <v>43</v>
      </c>
      <c r="U86" s="38"/>
      <c r="V86" s="38" t="s">
        <v>43</v>
      </c>
    </row>
    <row r="87" spans="1:22" ht="33.75" x14ac:dyDescent="0.15">
      <c r="A87" s="38" t="s">
        <v>535</v>
      </c>
      <c r="B87" s="38" t="s">
        <v>38</v>
      </c>
      <c r="C87" s="34" t="s">
        <v>1005</v>
      </c>
      <c r="D87" s="38" t="str">
        <f>VLOOKUP($A87,[1]Sheet1!$A$2:$G$249,2,FALSE)</f>
        <v>Asia</v>
      </c>
      <c r="E87" s="38" t="s">
        <v>40</v>
      </c>
      <c r="F87" s="38" t="s">
        <v>41</v>
      </c>
      <c r="G87" s="38"/>
      <c r="H87" s="38" t="s">
        <v>1006</v>
      </c>
      <c r="I87" s="38" t="s">
        <v>43</v>
      </c>
      <c r="J87" s="38" t="s">
        <v>56</v>
      </c>
      <c r="K87" s="38"/>
      <c r="L87" s="38" t="s">
        <v>43</v>
      </c>
      <c r="M87" s="38"/>
      <c r="N87" s="38"/>
      <c r="O87" s="38"/>
      <c r="P87" s="44">
        <f>VLOOKUP(A87,[2]clean!$A$2:$F$160,6,FALSE)</f>
        <v>-3.71651058341557E-2</v>
      </c>
      <c r="Q87" s="38" t="s">
        <v>43</v>
      </c>
      <c r="R87" s="38" t="s">
        <v>43</v>
      </c>
      <c r="S87" s="38" t="s">
        <v>43</v>
      </c>
      <c r="T87" s="38" t="s">
        <v>41</v>
      </c>
      <c r="U87" s="38"/>
      <c r="V87" s="38" t="s">
        <v>43</v>
      </c>
    </row>
    <row r="88" spans="1:22" ht="22.5" x14ac:dyDescent="0.15">
      <c r="A88" s="38" t="s">
        <v>540</v>
      </c>
      <c r="B88" s="38" t="s">
        <v>145</v>
      </c>
      <c r="C88" s="34" t="s">
        <v>1007</v>
      </c>
      <c r="D88" s="38" t="str">
        <f>VLOOKUP($A88,[1]Sheet1!$A$2:$G$249,2,FALSE)</f>
        <v>Africa</v>
      </c>
      <c r="E88" s="38" t="s">
        <v>73</v>
      </c>
      <c r="F88" s="38" t="s">
        <v>41</v>
      </c>
      <c r="G88" s="38"/>
      <c r="H88" s="38" t="s">
        <v>539</v>
      </c>
      <c r="I88" s="38" t="s">
        <v>43</v>
      </c>
      <c r="J88" s="38" t="s">
        <v>44</v>
      </c>
      <c r="K88" s="38" t="s">
        <v>45</v>
      </c>
      <c r="L88" s="38" t="s">
        <v>41</v>
      </c>
      <c r="M88" s="38" t="s">
        <v>41</v>
      </c>
      <c r="N88" s="38" t="s">
        <v>41</v>
      </c>
      <c r="O88" s="38"/>
      <c r="P88" s="44">
        <f>VLOOKUP(A88,[2]clean!$A$2:$F$160,6,FALSE)</f>
        <v>0.202059147683468</v>
      </c>
      <c r="Q88" s="38" t="s">
        <v>41</v>
      </c>
      <c r="R88" s="38" t="s">
        <v>41</v>
      </c>
      <c r="S88" s="38" t="s">
        <v>41</v>
      </c>
      <c r="T88" s="38" t="s">
        <v>43</v>
      </c>
      <c r="U88" s="38" t="s">
        <v>150</v>
      </c>
      <c r="V88" s="38" t="s">
        <v>41</v>
      </c>
    </row>
    <row r="89" spans="1:22" ht="22.5" customHeight="1" x14ac:dyDescent="0.15">
      <c r="A89" s="38" t="s">
        <v>546</v>
      </c>
      <c r="B89" s="38" t="s">
        <v>215</v>
      </c>
      <c r="C89" s="34" t="s">
        <v>547</v>
      </c>
      <c r="D89" s="38" t="str">
        <f>VLOOKUP($A89,[1]Sheet1!$A$2:$G$249,2,FALSE)</f>
        <v>Oceania</v>
      </c>
      <c r="E89" s="38" t="s">
        <v>480</v>
      </c>
      <c r="F89" s="38" t="s">
        <v>43</v>
      </c>
      <c r="G89" s="38" t="s">
        <v>271</v>
      </c>
      <c r="H89" s="38" t="s">
        <v>545</v>
      </c>
      <c r="I89" s="38" t="s">
        <v>43</v>
      </c>
      <c r="J89" s="38" t="s">
        <v>56</v>
      </c>
      <c r="K89" s="38" t="s">
        <v>203</v>
      </c>
      <c r="L89" s="38" t="s">
        <v>43</v>
      </c>
      <c r="M89" s="38"/>
      <c r="N89" s="38"/>
      <c r="O89" s="38"/>
      <c r="P89" s="44" t="e">
        <f>VLOOKUP(A89,[2]clean!$A$2:$F$160,6,FALSE)</f>
        <v>#N/A</v>
      </c>
      <c r="Q89" s="38" t="s">
        <v>43</v>
      </c>
      <c r="R89" s="38" t="s">
        <v>43</v>
      </c>
      <c r="S89" s="38" t="s">
        <v>43</v>
      </c>
      <c r="T89" s="38" t="s">
        <v>41</v>
      </c>
      <c r="U89" s="38"/>
      <c r="V89" s="38" t="s">
        <v>43</v>
      </c>
    </row>
    <row r="90" spans="1:22" ht="33.75" x14ac:dyDescent="0.15">
      <c r="A90" s="38" t="s">
        <v>549</v>
      </c>
      <c r="B90" s="38" t="s">
        <v>145</v>
      </c>
      <c r="C90" s="34" t="s">
        <v>1008</v>
      </c>
      <c r="D90" s="38" t="str">
        <f>VLOOKUP($A90,[1]Sheet1!$A$2:$G$249,2,FALSE)</f>
        <v>Africa</v>
      </c>
      <c r="E90" s="38" t="s">
        <v>73</v>
      </c>
      <c r="F90" s="38" t="s">
        <v>41</v>
      </c>
      <c r="G90" s="38"/>
      <c r="H90" s="38" t="s">
        <v>1009</v>
      </c>
      <c r="I90" s="38" t="s">
        <v>43</v>
      </c>
      <c r="J90" s="38" t="s">
        <v>74</v>
      </c>
      <c r="K90" s="38"/>
      <c r="L90" s="38" t="s">
        <v>43</v>
      </c>
      <c r="M90" s="38"/>
      <c r="N90" s="38"/>
      <c r="O90" s="38"/>
      <c r="P90" s="44">
        <f>VLOOKUP(A90,[2]clean!$A$2:$F$160,6,FALSE)</f>
        <v>8.2066204627733993E-2</v>
      </c>
      <c r="Q90" s="38" t="s">
        <v>41</v>
      </c>
      <c r="R90" s="38" t="s">
        <v>41</v>
      </c>
      <c r="S90" s="38" t="s">
        <v>43</v>
      </c>
      <c r="T90" s="38" t="s">
        <v>43</v>
      </c>
      <c r="U90" s="38" t="s">
        <v>150</v>
      </c>
      <c r="V90" s="38" t="s">
        <v>43</v>
      </c>
    </row>
    <row r="91" spans="1:22" ht="33.75" x14ac:dyDescent="0.15">
      <c r="A91" s="38" t="s">
        <v>555</v>
      </c>
      <c r="B91" s="38" t="s">
        <v>84</v>
      </c>
      <c r="C91" s="34" t="s">
        <v>1010</v>
      </c>
      <c r="D91" s="38" t="str">
        <f>VLOOKUP($A91,[1]Sheet1!$A$2:$G$249,2,FALSE)</f>
        <v>Americas</v>
      </c>
      <c r="E91" s="38" t="s">
        <v>86</v>
      </c>
      <c r="F91" s="38" t="s">
        <v>41</v>
      </c>
      <c r="G91" s="38"/>
      <c r="H91" s="38" t="s">
        <v>554</v>
      </c>
      <c r="I91" s="38" t="s">
        <v>43</v>
      </c>
      <c r="J91" s="38" t="s">
        <v>56</v>
      </c>
      <c r="K91" s="38"/>
      <c r="L91" s="38" t="s">
        <v>43</v>
      </c>
      <c r="M91" s="38" t="s">
        <v>41</v>
      </c>
      <c r="N91" s="38"/>
      <c r="O91" s="38" t="s">
        <v>41</v>
      </c>
      <c r="P91" s="44">
        <f>VLOOKUP(A91,[2]clean!$A$2:$F$160,6,FALSE)</f>
        <v>0.53786937444517702</v>
      </c>
      <c r="Q91" s="38" t="s">
        <v>43</v>
      </c>
      <c r="R91" s="38" t="s">
        <v>43</v>
      </c>
      <c r="S91" s="38" t="s">
        <v>43</v>
      </c>
      <c r="T91" s="38" t="s">
        <v>43</v>
      </c>
      <c r="U91" s="38" t="s">
        <v>142</v>
      </c>
      <c r="V91" s="38" t="s">
        <v>43</v>
      </c>
    </row>
    <row r="92" spans="1:22" s="49" customFormat="1" ht="56.25" x14ac:dyDescent="0.15">
      <c r="A92" s="38" t="s">
        <v>480</v>
      </c>
      <c r="B92" s="38" t="s">
        <v>215</v>
      </c>
      <c r="C92" s="34" t="s">
        <v>561</v>
      </c>
      <c r="D92" s="38" t="str">
        <f>VLOOKUP($A92,[1]Sheet1!$A$2:$G$249,2,FALSE)</f>
        <v>Oceania</v>
      </c>
      <c r="E92" s="38" t="s">
        <v>480</v>
      </c>
      <c r="F92" s="38" t="s">
        <v>43</v>
      </c>
      <c r="G92" s="38" t="s">
        <v>271</v>
      </c>
      <c r="H92" s="38" t="s">
        <v>560</v>
      </c>
      <c r="I92" s="38" t="s">
        <v>43</v>
      </c>
      <c r="J92" s="38" t="s">
        <v>74</v>
      </c>
      <c r="K92" s="38" t="s">
        <v>203</v>
      </c>
      <c r="L92" s="38" t="s">
        <v>43</v>
      </c>
      <c r="M92" s="38"/>
      <c r="N92" s="38"/>
      <c r="O92" s="38"/>
      <c r="P92" s="44" t="e">
        <f>VLOOKUP(A92,[2]clean!$A$2:$F$160,6,FALSE)</f>
        <v>#N/A</v>
      </c>
      <c r="Q92" s="38" t="s">
        <v>43</v>
      </c>
      <c r="R92" s="38" t="s">
        <v>43</v>
      </c>
      <c r="S92" s="38" t="s">
        <v>43</v>
      </c>
      <c r="T92" s="38" t="s">
        <v>41</v>
      </c>
      <c r="U92" s="38"/>
      <c r="V92" s="38" t="s">
        <v>43</v>
      </c>
    </row>
    <row r="93" spans="1:22" ht="33.75" x14ac:dyDescent="0.15">
      <c r="A93" s="38" t="s">
        <v>563</v>
      </c>
      <c r="B93" s="38" t="s">
        <v>53</v>
      </c>
      <c r="C93" s="34" t="s">
        <v>1011</v>
      </c>
      <c r="D93" s="38" t="str">
        <f>VLOOKUP($A93,[1]Sheet1!$A$2:$G$249,2,FALSE)</f>
        <v>Europe</v>
      </c>
      <c r="E93" s="38" t="s">
        <v>132</v>
      </c>
      <c r="F93" s="38" t="s">
        <v>41</v>
      </c>
      <c r="G93" s="38"/>
      <c r="H93" s="38" t="s">
        <v>1012</v>
      </c>
      <c r="I93" s="38" t="s">
        <v>43</v>
      </c>
      <c r="J93" s="38" t="s">
        <v>56</v>
      </c>
      <c r="K93" s="38"/>
      <c r="L93" s="38" t="s">
        <v>43</v>
      </c>
      <c r="M93" s="38" t="s">
        <v>41</v>
      </c>
      <c r="N93" s="38"/>
      <c r="O93" s="38" t="s">
        <v>41</v>
      </c>
      <c r="P93" s="44">
        <f>VLOOKUP(A93,[2]clean!$A$2:$F$160,6,FALSE)</f>
        <v>0.80396223089180596</v>
      </c>
      <c r="Q93" s="38" t="s">
        <v>43</v>
      </c>
      <c r="R93" s="38" t="s">
        <v>43</v>
      </c>
      <c r="S93" s="38" t="s">
        <v>41</v>
      </c>
      <c r="T93" s="38" t="s">
        <v>43</v>
      </c>
      <c r="U93" s="38"/>
      <c r="V93" s="38" t="s">
        <v>43</v>
      </c>
    </row>
    <row r="94" spans="1:22" ht="33.75" x14ac:dyDescent="0.15">
      <c r="A94" s="38" t="s">
        <v>569</v>
      </c>
      <c r="B94" s="38" t="s">
        <v>215</v>
      </c>
      <c r="C94" s="34" t="s">
        <v>1013</v>
      </c>
      <c r="D94" s="38" t="str">
        <f>VLOOKUP($A94,[1]Sheet1!$A$2:$G$249,2,FALSE)</f>
        <v>Asia</v>
      </c>
      <c r="E94" s="38" t="s">
        <v>244</v>
      </c>
      <c r="F94" s="38" t="s">
        <v>41</v>
      </c>
      <c r="G94" s="38"/>
      <c r="H94" s="38" t="s">
        <v>1014</v>
      </c>
      <c r="I94" s="38" t="s">
        <v>43</v>
      </c>
      <c r="J94" s="38" t="s">
        <v>56</v>
      </c>
      <c r="K94" s="38"/>
      <c r="L94" s="38" t="s">
        <v>43</v>
      </c>
      <c r="M94" s="38"/>
      <c r="N94" s="38"/>
      <c r="O94" s="38"/>
      <c r="P94" s="44">
        <f>VLOOKUP(A94,[2]clean!$A$2:$F$160,6,FALSE)</f>
        <v>0.31042177853020297</v>
      </c>
      <c r="Q94" s="38" t="s">
        <v>43</v>
      </c>
      <c r="R94" s="38" t="s">
        <v>43</v>
      </c>
      <c r="S94" s="38" t="s">
        <v>41</v>
      </c>
      <c r="T94" s="38" t="s">
        <v>43</v>
      </c>
      <c r="U94" s="38"/>
      <c r="V94" s="38" t="s">
        <v>43</v>
      </c>
    </row>
    <row r="95" spans="1:22" ht="56.25" x14ac:dyDescent="0.15">
      <c r="A95" s="38" t="s">
        <v>574</v>
      </c>
      <c r="B95" s="38" t="s">
        <v>84</v>
      </c>
      <c r="C95" s="34" t="s">
        <v>575</v>
      </c>
      <c r="D95" s="38" t="str">
        <f>VLOOKUP($A95,[1]Sheet1!$A$2:$G$249,2,FALSE)</f>
        <v>Americas</v>
      </c>
      <c r="E95" s="38" t="s">
        <v>86</v>
      </c>
      <c r="F95" s="38" t="s">
        <v>43</v>
      </c>
      <c r="G95" s="38" t="s">
        <v>87</v>
      </c>
      <c r="H95" s="38" t="s">
        <v>573</v>
      </c>
      <c r="I95" s="38" t="s">
        <v>43</v>
      </c>
      <c r="J95" s="38" t="s">
        <v>88</v>
      </c>
      <c r="K95" s="38"/>
      <c r="L95" s="38" t="s">
        <v>43</v>
      </c>
      <c r="M95" s="38"/>
      <c r="N95" s="38"/>
      <c r="O95" s="38"/>
      <c r="P95" s="44" t="e">
        <f>VLOOKUP(A95,[2]clean!$A$2:$F$160,6,FALSE)</f>
        <v>#N/A</v>
      </c>
      <c r="Q95" s="38" t="s">
        <v>43</v>
      </c>
      <c r="R95" s="38" t="s">
        <v>43</v>
      </c>
      <c r="S95" s="38" t="s">
        <v>43</v>
      </c>
      <c r="T95" s="38" t="s">
        <v>41</v>
      </c>
      <c r="U95" s="38" t="s">
        <v>89</v>
      </c>
      <c r="V95" s="38" t="s">
        <v>43</v>
      </c>
    </row>
    <row r="96" spans="1:22" ht="33.75" x14ac:dyDescent="0.15">
      <c r="A96" s="38" t="s">
        <v>577</v>
      </c>
      <c r="B96" s="38" t="s">
        <v>64</v>
      </c>
      <c r="C96" s="34" t="s">
        <v>1015</v>
      </c>
      <c r="D96" s="38" t="str">
        <f>VLOOKUP($A96,[1]Sheet1!$A$2:$G$249,2,FALSE)</f>
        <v>Africa</v>
      </c>
      <c r="E96" s="38" t="s">
        <v>66</v>
      </c>
      <c r="F96" s="38" t="s">
        <v>41</v>
      </c>
      <c r="G96" s="38"/>
      <c r="H96" s="38" t="s">
        <v>1016</v>
      </c>
      <c r="I96" s="38" t="s">
        <v>43</v>
      </c>
      <c r="J96" s="38" t="s">
        <v>74</v>
      </c>
      <c r="K96" s="38"/>
      <c r="L96" s="38" t="s">
        <v>43</v>
      </c>
      <c r="M96" s="38"/>
      <c r="N96" s="38"/>
      <c r="O96" s="38"/>
      <c r="P96" s="44">
        <f>VLOOKUP(A96,[2]clean!$A$2:$F$160,6,FALSE)</f>
        <v>0.14073563480623799</v>
      </c>
      <c r="Q96" s="38" t="s">
        <v>43</v>
      </c>
      <c r="R96" s="38" t="s">
        <v>43</v>
      </c>
      <c r="S96" s="38" t="s">
        <v>43</v>
      </c>
      <c r="T96" s="38" t="s">
        <v>43</v>
      </c>
      <c r="U96" s="38"/>
      <c r="V96" s="38" t="s">
        <v>43</v>
      </c>
    </row>
    <row r="97" spans="1:22" ht="33.75" x14ac:dyDescent="0.15">
      <c r="A97" s="38" t="s">
        <v>583</v>
      </c>
      <c r="B97" s="38" t="s">
        <v>215</v>
      </c>
      <c r="C97" s="34" t="s">
        <v>584</v>
      </c>
      <c r="D97" s="38" t="str">
        <f>VLOOKUP($A97,[1]Sheet1!$A$2:$G$249,2,FALSE)</f>
        <v>Asia</v>
      </c>
      <c r="E97" s="38" t="s">
        <v>216</v>
      </c>
      <c r="F97" s="38" t="s">
        <v>41</v>
      </c>
      <c r="G97" s="38"/>
      <c r="H97" s="38" t="s">
        <v>1017</v>
      </c>
      <c r="I97" s="38" t="s">
        <v>41</v>
      </c>
      <c r="J97" s="38" t="s">
        <v>74</v>
      </c>
      <c r="K97" s="38" t="s">
        <v>45</v>
      </c>
      <c r="L97" s="38" t="s">
        <v>43</v>
      </c>
      <c r="M97" s="38" t="s">
        <v>41</v>
      </c>
      <c r="N97" s="38" t="s">
        <v>41</v>
      </c>
      <c r="O97" s="38"/>
      <c r="P97" s="44">
        <f>VLOOKUP(A97,[2]clean!$A$2:$F$160,6,FALSE)</f>
        <v>0.39870998633852101</v>
      </c>
      <c r="Q97" s="38" t="s">
        <v>41</v>
      </c>
      <c r="R97" s="38" t="s">
        <v>41</v>
      </c>
      <c r="S97" s="38" t="s">
        <v>43</v>
      </c>
      <c r="T97" s="38" t="s">
        <v>43</v>
      </c>
      <c r="U97" s="38"/>
      <c r="V97" s="38" t="s">
        <v>41</v>
      </c>
    </row>
    <row r="98" spans="1:22" ht="33.75" customHeight="1" x14ac:dyDescent="0.15">
      <c r="A98" s="38" t="s">
        <v>590</v>
      </c>
      <c r="B98" s="38" t="s">
        <v>72</v>
      </c>
      <c r="C98" s="34" t="s">
        <v>1018</v>
      </c>
      <c r="D98" s="38" t="str">
        <f>VLOOKUP($A98,[1]Sheet1!$A$2:$G$249,2,FALSE)</f>
        <v>Africa</v>
      </c>
      <c r="E98" s="38" t="s">
        <v>73</v>
      </c>
      <c r="F98" s="38" t="s">
        <v>41</v>
      </c>
      <c r="G98" s="38"/>
      <c r="H98" s="38" t="s">
        <v>1019</v>
      </c>
      <c r="I98" s="38" t="s">
        <v>41</v>
      </c>
      <c r="J98" s="38" t="s">
        <v>56</v>
      </c>
      <c r="K98" s="38"/>
      <c r="L98" s="38" t="s">
        <v>43</v>
      </c>
      <c r="M98" s="38"/>
      <c r="N98" s="38"/>
      <c r="O98" s="38"/>
      <c r="P98" s="44">
        <f>VLOOKUP(A98,[2]clean!$A$2:$F$160,6,FALSE)</f>
        <v>0.22889701544288499</v>
      </c>
      <c r="Q98" s="38" t="s">
        <v>43</v>
      </c>
      <c r="R98" s="38" t="s">
        <v>43</v>
      </c>
      <c r="S98" s="38" t="s">
        <v>43</v>
      </c>
      <c r="T98" s="38" t="s">
        <v>43</v>
      </c>
      <c r="U98" s="38" t="s">
        <v>176</v>
      </c>
      <c r="V98" s="38" t="s">
        <v>43</v>
      </c>
    </row>
    <row r="99" spans="1:22" ht="56.25" x14ac:dyDescent="0.15">
      <c r="A99" s="38" t="s">
        <v>596</v>
      </c>
      <c r="B99" s="38" t="s">
        <v>215</v>
      </c>
      <c r="C99" s="34" t="s">
        <v>597</v>
      </c>
      <c r="D99" s="38" t="str">
        <f>VLOOKUP($A99,[1]Sheet1!$A$2:$G$249,2,FALSE)</f>
        <v>Oceania</v>
      </c>
      <c r="E99" s="38" t="s">
        <v>480</v>
      </c>
      <c r="F99" s="38" t="s">
        <v>43</v>
      </c>
      <c r="G99" s="38" t="s">
        <v>271</v>
      </c>
      <c r="H99" s="38" t="s">
        <v>595</v>
      </c>
      <c r="I99" s="38" t="s">
        <v>43</v>
      </c>
      <c r="J99" s="38" t="s">
        <v>93</v>
      </c>
      <c r="K99" s="38"/>
      <c r="L99" s="38" t="s">
        <v>43</v>
      </c>
      <c r="M99" s="38"/>
      <c r="N99" s="38"/>
      <c r="O99" s="38"/>
      <c r="P99" s="44" t="e">
        <f>VLOOKUP(A99,[2]clean!$A$2:$F$160,6,FALSE)</f>
        <v>#N/A</v>
      </c>
      <c r="Q99" s="38" t="s">
        <v>43</v>
      </c>
      <c r="R99" s="38" t="s">
        <v>43</v>
      </c>
      <c r="S99" s="38" t="s">
        <v>43</v>
      </c>
      <c r="T99" s="38" t="s">
        <v>41</v>
      </c>
      <c r="U99" s="38"/>
      <c r="V99" s="38" t="s">
        <v>43</v>
      </c>
    </row>
    <row r="100" spans="1:22" ht="33.75" x14ac:dyDescent="0.15">
      <c r="A100" s="38" t="s">
        <v>599</v>
      </c>
      <c r="B100" s="38" t="s">
        <v>38</v>
      </c>
      <c r="C100" s="34" t="s">
        <v>1020</v>
      </c>
      <c r="D100" s="38" t="str">
        <f>VLOOKUP($A100,[1]Sheet1!$A$2:$G$249,2,FALSE)</f>
        <v>Asia</v>
      </c>
      <c r="E100" s="38" t="s">
        <v>40</v>
      </c>
      <c r="F100" s="38" t="s">
        <v>41</v>
      </c>
      <c r="G100" s="38"/>
      <c r="H100" s="38" t="s">
        <v>1021</v>
      </c>
      <c r="I100" s="38" t="s">
        <v>43</v>
      </c>
      <c r="J100" s="38" t="s">
        <v>74</v>
      </c>
      <c r="K100" s="38"/>
      <c r="L100" s="38" t="s">
        <v>43</v>
      </c>
      <c r="M100" s="38"/>
      <c r="N100" s="38"/>
      <c r="O100" s="38"/>
      <c r="P100" s="44">
        <f>VLOOKUP(A100,[2]clean!$A$2:$F$160,6,FALSE)</f>
        <v>0.15643975281637801</v>
      </c>
      <c r="Q100" s="38" t="s">
        <v>41</v>
      </c>
      <c r="R100" s="38" t="s">
        <v>41</v>
      </c>
      <c r="S100" s="38" t="s">
        <v>41</v>
      </c>
      <c r="T100" s="38" t="s">
        <v>43</v>
      </c>
      <c r="U100" s="38"/>
      <c r="V100" s="38" t="s">
        <v>43</v>
      </c>
    </row>
    <row r="101" spans="1:22" ht="22.5" customHeight="1" x14ac:dyDescent="0.15">
      <c r="A101" s="38" t="s">
        <v>605</v>
      </c>
      <c r="B101" s="38" t="s">
        <v>84</v>
      </c>
      <c r="C101" s="34" t="s">
        <v>1022</v>
      </c>
      <c r="D101" s="38" t="str">
        <f>VLOOKUP($A101,[1]Sheet1!$A$2:$G$249,2,FALSE)</f>
        <v>Americas</v>
      </c>
      <c r="E101" s="38" t="s">
        <v>86</v>
      </c>
      <c r="F101" s="38" t="s">
        <v>41</v>
      </c>
      <c r="G101" s="38"/>
      <c r="H101" s="38" t="s">
        <v>604</v>
      </c>
      <c r="I101" s="38" t="s">
        <v>43</v>
      </c>
      <c r="J101" s="38" t="s">
        <v>74</v>
      </c>
      <c r="K101" s="38"/>
      <c r="L101" s="38" t="s">
        <v>43</v>
      </c>
      <c r="M101" s="38"/>
      <c r="N101" s="38"/>
      <c r="O101" s="38" t="s">
        <v>41</v>
      </c>
      <c r="P101" s="44">
        <f>VLOOKUP(A101,[2]clean!$A$2:$F$160,6,FALSE)</f>
        <v>0.28334394522572598</v>
      </c>
      <c r="Q101" s="38" t="s">
        <v>43</v>
      </c>
      <c r="R101" s="38" t="s">
        <v>43</v>
      </c>
      <c r="S101" s="38" t="s">
        <v>43</v>
      </c>
      <c r="T101" s="38" t="s">
        <v>43</v>
      </c>
      <c r="U101" s="38" t="s">
        <v>142</v>
      </c>
      <c r="V101" s="38" t="s">
        <v>43</v>
      </c>
    </row>
    <row r="102" spans="1:22" ht="22.5" x14ac:dyDescent="0.15">
      <c r="A102" s="38" t="s">
        <v>610</v>
      </c>
      <c r="B102" s="38" t="s">
        <v>145</v>
      </c>
      <c r="C102" s="34" t="s">
        <v>1023</v>
      </c>
      <c r="D102" s="38" t="str">
        <f>VLOOKUP($A102,[1]Sheet1!$A$2:$G$249,2,FALSE)</f>
        <v>Africa</v>
      </c>
      <c r="E102" s="38" t="s">
        <v>73</v>
      </c>
      <c r="F102" s="38" t="s">
        <v>41</v>
      </c>
      <c r="G102" s="38"/>
      <c r="H102" s="38" t="s">
        <v>1024</v>
      </c>
      <c r="I102" s="38" t="s">
        <v>43</v>
      </c>
      <c r="J102" s="38" t="s">
        <v>44</v>
      </c>
      <c r="K102" s="38" t="s">
        <v>45</v>
      </c>
      <c r="L102" s="38" t="s">
        <v>43</v>
      </c>
      <c r="M102" s="38" t="s">
        <v>41</v>
      </c>
      <c r="N102" s="38" t="s">
        <v>41</v>
      </c>
      <c r="O102" s="38"/>
      <c r="P102" s="44">
        <f>VLOOKUP(A102,[2]clean!$A$2:$F$160,6,FALSE)</f>
        <v>0.12773015125311599</v>
      </c>
      <c r="Q102" s="38" t="s">
        <v>41</v>
      </c>
      <c r="R102" s="38" t="s">
        <v>41</v>
      </c>
      <c r="S102" s="38" t="s">
        <v>41</v>
      </c>
      <c r="T102" s="38" t="s">
        <v>43</v>
      </c>
      <c r="U102" s="38" t="s">
        <v>150</v>
      </c>
      <c r="V102" s="38" t="s">
        <v>41</v>
      </c>
    </row>
    <row r="103" spans="1:22" ht="33.75" x14ac:dyDescent="0.15">
      <c r="A103" s="38" t="s">
        <v>616</v>
      </c>
      <c r="B103" s="38" t="s">
        <v>145</v>
      </c>
      <c r="C103" s="34" t="s">
        <v>1025</v>
      </c>
      <c r="D103" s="38" t="str">
        <f>VLOOKUP($A103,[1]Sheet1!$A$2:$G$249,2,FALSE)</f>
        <v>Africa</v>
      </c>
      <c r="E103" s="38" t="s">
        <v>73</v>
      </c>
      <c r="F103" s="38" t="s">
        <v>41</v>
      </c>
      <c r="G103" s="38"/>
      <c r="H103" s="38" t="s">
        <v>1026</v>
      </c>
      <c r="I103" s="38" t="s">
        <v>41</v>
      </c>
      <c r="J103" s="38" t="s">
        <v>74</v>
      </c>
      <c r="K103" s="38" t="s">
        <v>45</v>
      </c>
      <c r="L103" s="38" t="s">
        <v>41</v>
      </c>
      <c r="M103" s="38" t="s">
        <v>41</v>
      </c>
      <c r="N103" s="38" t="s">
        <v>41</v>
      </c>
      <c r="O103" s="38"/>
      <c r="P103" s="44">
        <f>VLOOKUP(A103,[2]clean!$A$2:$F$160,6,FALSE)</f>
        <v>0.27841796121433399</v>
      </c>
      <c r="Q103" s="38" t="s">
        <v>41</v>
      </c>
      <c r="R103" s="38" t="s">
        <v>43</v>
      </c>
      <c r="S103" s="38" t="s">
        <v>43</v>
      </c>
      <c r="T103" s="38" t="s">
        <v>43</v>
      </c>
      <c r="U103" s="38" t="s">
        <v>150</v>
      </c>
      <c r="V103" s="38" t="s">
        <v>41</v>
      </c>
    </row>
    <row r="104" spans="1:22" ht="56.25" x14ac:dyDescent="0.15">
      <c r="A104" s="38" t="s">
        <v>622</v>
      </c>
      <c r="B104" s="38" t="s">
        <v>215</v>
      </c>
      <c r="C104" s="34" t="s">
        <v>623</v>
      </c>
      <c r="D104" s="38" t="str">
        <f>VLOOKUP($A104,[1]Sheet1!$A$2:$G$249,2,FALSE)</f>
        <v>Oceania</v>
      </c>
      <c r="E104" s="38" t="s">
        <v>270</v>
      </c>
      <c r="F104" s="38" t="s">
        <v>43</v>
      </c>
      <c r="G104" s="38" t="s">
        <v>271</v>
      </c>
      <c r="H104" s="38" t="s">
        <v>621</v>
      </c>
      <c r="I104" s="38" t="s">
        <v>43</v>
      </c>
      <c r="J104" s="38" t="s">
        <v>88</v>
      </c>
      <c r="K104" s="38"/>
      <c r="L104" s="38" t="s">
        <v>43</v>
      </c>
      <c r="M104" s="38"/>
      <c r="N104" s="38"/>
      <c r="O104" s="38"/>
      <c r="P104" s="44" t="e">
        <f>VLOOKUP(A104,[2]clean!$A$2:$F$160,6,FALSE)</f>
        <v>#N/A</v>
      </c>
      <c r="Q104" s="38" t="s">
        <v>43</v>
      </c>
      <c r="R104" s="38" t="s">
        <v>43</v>
      </c>
      <c r="S104" s="38" t="s">
        <v>43</v>
      </c>
      <c r="T104" s="38" t="s">
        <v>41</v>
      </c>
      <c r="U104" s="38"/>
      <c r="V104" s="38" t="s">
        <v>43</v>
      </c>
    </row>
    <row r="105" spans="1:22" ht="33.75" x14ac:dyDescent="0.15">
      <c r="A105" s="38" t="s">
        <v>625</v>
      </c>
      <c r="B105" s="38" t="s">
        <v>53</v>
      </c>
      <c r="C105" s="34" t="s">
        <v>1027</v>
      </c>
      <c r="D105" s="38" t="str">
        <f>VLOOKUP($A105,[1]Sheet1!$A$2:$G$249,2,FALSE)</f>
        <v>Europe</v>
      </c>
      <c r="E105" s="38" t="s">
        <v>55</v>
      </c>
      <c r="F105" s="38" t="s">
        <v>41</v>
      </c>
      <c r="G105" s="38"/>
      <c r="H105" s="38" t="s">
        <v>1028</v>
      </c>
      <c r="I105" s="38" t="s">
        <v>43</v>
      </c>
      <c r="J105" s="38" t="s">
        <v>56</v>
      </c>
      <c r="K105" s="38"/>
      <c r="L105" s="38" t="s">
        <v>43</v>
      </c>
      <c r="M105" s="38"/>
      <c r="N105" s="38"/>
      <c r="O105" s="38"/>
      <c r="P105" s="44">
        <f>VLOOKUP(A105,[2]clean!$A$2:$F$160,6,FALSE)</f>
        <v>0</v>
      </c>
      <c r="Q105" s="38" t="s">
        <v>43</v>
      </c>
      <c r="R105" s="38" t="s">
        <v>43</v>
      </c>
      <c r="S105" s="38" t="s">
        <v>41</v>
      </c>
      <c r="T105" s="38" t="s">
        <v>43</v>
      </c>
      <c r="U105" s="38"/>
      <c r="V105" s="38" t="s">
        <v>43</v>
      </c>
    </row>
    <row r="106" spans="1:22" ht="22.5" x14ac:dyDescent="0.15">
      <c r="A106" s="38" t="s">
        <v>629</v>
      </c>
      <c r="B106" s="38" t="s">
        <v>64</v>
      </c>
      <c r="C106" s="34" t="s">
        <v>1029</v>
      </c>
      <c r="D106" s="38" t="str">
        <f>VLOOKUP($A106,[1]Sheet1!$A$2:$G$249,2,FALSE)</f>
        <v>Asia</v>
      </c>
      <c r="E106" s="38" t="s">
        <v>104</v>
      </c>
      <c r="F106" s="38" t="s">
        <v>41</v>
      </c>
      <c r="G106" s="38"/>
      <c r="H106" s="38" t="s">
        <v>628</v>
      </c>
      <c r="I106" s="38" t="s">
        <v>43</v>
      </c>
      <c r="J106" s="38" t="s">
        <v>93</v>
      </c>
      <c r="K106" s="38"/>
      <c r="L106" s="38" t="s">
        <v>43</v>
      </c>
      <c r="M106" s="38"/>
      <c r="N106" s="38"/>
      <c r="O106" s="38"/>
      <c r="P106" s="44">
        <f>VLOOKUP(A106,[2]clean!$A$2:$F$160,6,FALSE)</f>
        <v>0</v>
      </c>
      <c r="Q106" s="38" t="s">
        <v>43</v>
      </c>
      <c r="R106" s="38" t="s">
        <v>43</v>
      </c>
      <c r="S106" s="38" t="s">
        <v>43</v>
      </c>
      <c r="T106" s="38" t="s">
        <v>43</v>
      </c>
      <c r="U106" s="38"/>
      <c r="V106" s="38" t="s">
        <v>43</v>
      </c>
    </row>
    <row r="107" spans="1:22" ht="33.75" x14ac:dyDescent="0.15">
      <c r="A107" s="38" t="s">
        <v>633</v>
      </c>
      <c r="B107" s="38" t="s">
        <v>38</v>
      </c>
      <c r="C107" s="34" t="s">
        <v>1030</v>
      </c>
      <c r="D107" s="38" t="str">
        <f>VLOOKUP($A107,[1]Sheet1!$A$2:$G$249,2,FALSE)</f>
        <v>Asia</v>
      </c>
      <c r="E107" s="38" t="s">
        <v>40</v>
      </c>
      <c r="F107" s="38" t="s">
        <v>41</v>
      </c>
      <c r="G107" s="38"/>
      <c r="H107" s="38" t="s">
        <v>632</v>
      </c>
      <c r="I107" s="38" t="s">
        <v>41</v>
      </c>
      <c r="J107" s="38" t="s">
        <v>74</v>
      </c>
      <c r="K107" s="38"/>
      <c r="L107" s="38" t="s">
        <v>43</v>
      </c>
      <c r="M107" s="38" t="s">
        <v>41</v>
      </c>
      <c r="N107" s="38" t="s">
        <v>41</v>
      </c>
      <c r="O107" s="38"/>
      <c r="P107" s="44">
        <f>VLOOKUP(A107,[2]clean!$A$2:$F$160,6,FALSE)</f>
        <v>0.24077486981131699</v>
      </c>
      <c r="Q107" s="38" t="s">
        <v>41</v>
      </c>
      <c r="R107" s="38" t="s">
        <v>43</v>
      </c>
      <c r="S107" s="38" t="s">
        <v>43</v>
      </c>
      <c r="T107" s="38" t="s">
        <v>43</v>
      </c>
      <c r="U107" s="38"/>
      <c r="V107" s="38" t="s">
        <v>43</v>
      </c>
    </row>
    <row r="108" spans="1:22" ht="56.25" x14ac:dyDescent="0.15">
      <c r="A108" s="38" t="s">
        <v>639</v>
      </c>
      <c r="B108" s="38" t="s">
        <v>215</v>
      </c>
      <c r="C108" s="34" t="s">
        <v>640</v>
      </c>
      <c r="D108" s="38" t="str">
        <f>VLOOKUP($A108,[1]Sheet1!$A$2:$G$249,2,FALSE)</f>
        <v>Oceania</v>
      </c>
      <c r="E108" s="38" t="s">
        <v>480</v>
      </c>
      <c r="F108" s="38" t="s">
        <v>43</v>
      </c>
      <c r="G108" s="38" t="s">
        <v>271</v>
      </c>
      <c r="H108" s="38" t="s">
        <v>638</v>
      </c>
      <c r="I108" s="38" t="s">
        <v>43</v>
      </c>
      <c r="J108" s="38" t="s">
        <v>93</v>
      </c>
      <c r="K108" s="38"/>
      <c r="L108" s="38" t="s">
        <v>43</v>
      </c>
      <c r="M108" s="38"/>
      <c r="N108" s="38"/>
      <c r="O108" s="38"/>
      <c r="P108" s="44" t="e">
        <f>VLOOKUP(A108,[2]clean!$A$2:$F$160,6,FALSE)</f>
        <v>#N/A</v>
      </c>
      <c r="Q108" s="38" t="s">
        <v>43</v>
      </c>
      <c r="R108" s="38" t="s">
        <v>43</v>
      </c>
      <c r="S108" s="38" t="s">
        <v>43</v>
      </c>
      <c r="T108" s="38" t="s">
        <v>41</v>
      </c>
      <c r="U108" s="38"/>
      <c r="V108" s="38" t="s">
        <v>43</v>
      </c>
    </row>
    <row r="109" spans="1:22" ht="22.5" x14ac:dyDescent="0.15">
      <c r="A109" s="38" t="s">
        <v>642</v>
      </c>
      <c r="B109" s="38" t="s">
        <v>64</v>
      </c>
      <c r="C109" s="34" t="s">
        <v>1031</v>
      </c>
      <c r="D109" s="38" t="str">
        <f>VLOOKUP($A109,[1]Sheet1!$A$2:$G$249,2,FALSE)</f>
        <v>Asia</v>
      </c>
      <c r="E109" s="38" t="s">
        <v>104</v>
      </c>
      <c r="F109" s="38" t="s">
        <v>41</v>
      </c>
      <c r="G109" s="38"/>
      <c r="H109" s="38" t="s">
        <v>1032</v>
      </c>
      <c r="I109" s="38" t="s">
        <v>43</v>
      </c>
      <c r="J109" s="38" t="s">
        <v>88</v>
      </c>
      <c r="K109" s="38" t="s">
        <v>45</v>
      </c>
      <c r="L109" s="38" t="s">
        <v>41</v>
      </c>
      <c r="M109" s="38" t="s">
        <v>41</v>
      </c>
      <c r="N109" s="38" t="s">
        <v>41</v>
      </c>
      <c r="O109" s="38"/>
      <c r="P109" s="44">
        <f>VLOOKUP(A109,[2]clean!$A$2:$F$160,6,FALSE)</f>
        <v>0.87485349237834797</v>
      </c>
      <c r="Q109" s="38" t="s">
        <v>43</v>
      </c>
      <c r="R109" s="38" t="s">
        <v>43</v>
      </c>
      <c r="S109" s="38" t="s">
        <v>43</v>
      </c>
      <c r="T109" s="38" t="s">
        <v>43</v>
      </c>
      <c r="U109" s="38"/>
      <c r="V109" s="38" t="s">
        <v>41</v>
      </c>
    </row>
    <row r="110" spans="1:22" ht="33.75" x14ac:dyDescent="0.15">
      <c r="A110" s="38" t="s">
        <v>648</v>
      </c>
      <c r="B110" s="38" t="s">
        <v>84</v>
      </c>
      <c r="C110" s="34" t="s">
        <v>1033</v>
      </c>
      <c r="D110" s="38" t="str">
        <f>VLOOKUP($A110,[1]Sheet1!$A$2:$G$249,2,FALSE)</f>
        <v>Americas</v>
      </c>
      <c r="E110" s="38" t="s">
        <v>86</v>
      </c>
      <c r="F110" s="38" t="s">
        <v>41</v>
      </c>
      <c r="G110" s="38"/>
      <c r="H110" s="38" t="s">
        <v>647</v>
      </c>
      <c r="I110" s="38" t="s">
        <v>43</v>
      </c>
      <c r="J110" s="38" t="s">
        <v>93</v>
      </c>
      <c r="K110" s="38"/>
      <c r="L110" s="38" t="s">
        <v>43</v>
      </c>
      <c r="M110" s="38" t="s">
        <v>41</v>
      </c>
      <c r="N110" s="38"/>
      <c r="O110" s="38" t="s">
        <v>41</v>
      </c>
      <c r="P110" s="44">
        <f>VLOOKUP(A110,[2]clean!$A$2:$F$160,6,FALSE)</f>
        <v>0.75290180083624303</v>
      </c>
      <c r="Q110" s="38" t="s">
        <v>43</v>
      </c>
      <c r="R110" s="38" t="s">
        <v>43</v>
      </c>
      <c r="S110" s="38" t="s">
        <v>43</v>
      </c>
      <c r="T110" s="38" t="s">
        <v>43</v>
      </c>
      <c r="U110" s="38" t="s">
        <v>142</v>
      </c>
      <c r="V110" s="38" t="s">
        <v>43</v>
      </c>
    </row>
    <row r="111" spans="1:22" ht="45" x14ac:dyDescent="0.15">
      <c r="A111" s="38" t="s">
        <v>654</v>
      </c>
      <c r="B111" s="38" t="s">
        <v>215</v>
      </c>
      <c r="C111" s="34" t="s">
        <v>1034</v>
      </c>
      <c r="D111" s="38" t="str">
        <f>VLOOKUP($A111,[1]Sheet1!$A$2:$G$249,2,FALSE)</f>
        <v>Oceania</v>
      </c>
      <c r="E111" s="38" t="s">
        <v>362</v>
      </c>
      <c r="F111" s="38" t="s">
        <v>41</v>
      </c>
      <c r="G111" s="38"/>
      <c r="H111" s="38" t="s">
        <v>653</v>
      </c>
      <c r="I111" s="38" t="s">
        <v>41</v>
      </c>
      <c r="J111" s="38" t="s">
        <v>74</v>
      </c>
      <c r="K111" s="38" t="s">
        <v>203</v>
      </c>
      <c r="L111" s="38" t="s">
        <v>43</v>
      </c>
      <c r="M111" s="38"/>
      <c r="N111" s="38"/>
      <c r="O111" s="38"/>
      <c r="P111" s="44">
        <f>VLOOKUP(A111,[2]clean!$A$2:$F$160,6,FALSE)</f>
        <v>0.195910245080965</v>
      </c>
      <c r="Q111" s="38" t="s">
        <v>41</v>
      </c>
      <c r="R111" s="38" t="s">
        <v>43</v>
      </c>
      <c r="S111" s="38" t="s">
        <v>43</v>
      </c>
      <c r="T111" s="38" t="s">
        <v>41</v>
      </c>
      <c r="U111" s="38"/>
      <c r="V111" s="38" t="s">
        <v>43</v>
      </c>
    </row>
    <row r="112" spans="1:22" ht="33.75" customHeight="1" x14ac:dyDescent="0.15">
      <c r="A112" s="38" t="s">
        <v>660</v>
      </c>
      <c r="B112" s="38" t="s">
        <v>84</v>
      </c>
      <c r="C112" s="34" t="s">
        <v>1035</v>
      </c>
      <c r="D112" s="38" t="str">
        <f>VLOOKUP($A112,[1]Sheet1!$A$2:$G$249,2,FALSE)</f>
        <v>Americas</v>
      </c>
      <c r="E112" s="38" t="s">
        <v>86</v>
      </c>
      <c r="F112" s="38" t="s">
        <v>41</v>
      </c>
      <c r="G112" s="38"/>
      <c r="H112" s="38" t="s">
        <v>1036</v>
      </c>
      <c r="I112" s="38" t="s">
        <v>43</v>
      </c>
      <c r="J112" s="38" t="s">
        <v>56</v>
      </c>
      <c r="K112" s="38"/>
      <c r="L112" s="38" t="s">
        <v>43</v>
      </c>
      <c r="M112" s="38"/>
      <c r="N112" s="38"/>
      <c r="O112" s="38"/>
      <c r="P112" s="44">
        <f>VLOOKUP(A112,[2]clean!$A$2:$F$160,6,FALSE)</f>
        <v>-6.37957639205844E-3</v>
      </c>
      <c r="Q112" s="38" t="s">
        <v>43</v>
      </c>
      <c r="R112" s="38" t="s">
        <v>43</v>
      </c>
      <c r="S112" s="38" t="s">
        <v>41</v>
      </c>
      <c r="T112" s="38" t="s">
        <v>43</v>
      </c>
      <c r="U112" s="38" t="s">
        <v>100</v>
      </c>
      <c r="V112" s="38" t="s">
        <v>43</v>
      </c>
    </row>
    <row r="113" spans="1:22" ht="33.75" x14ac:dyDescent="0.15">
      <c r="A113" s="38" t="s">
        <v>665</v>
      </c>
      <c r="B113" s="38" t="s">
        <v>84</v>
      </c>
      <c r="C113" s="34" t="s">
        <v>1037</v>
      </c>
      <c r="D113" s="38" t="str">
        <f>VLOOKUP($A113,[1]Sheet1!$A$2:$G$249,2,FALSE)</f>
        <v>Americas</v>
      </c>
      <c r="E113" s="38" t="s">
        <v>86</v>
      </c>
      <c r="F113" s="38" t="s">
        <v>41</v>
      </c>
      <c r="G113" s="38"/>
      <c r="H113" s="38" t="s">
        <v>664</v>
      </c>
      <c r="I113" s="38" t="s">
        <v>43</v>
      </c>
      <c r="J113" s="38" t="s">
        <v>56</v>
      </c>
      <c r="K113" s="38"/>
      <c r="L113" s="38" t="s">
        <v>43</v>
      </c>
      <c r="M113" s="38"/>
      <c r="N113" s="38"/>
      <c r="O113" s="38" t="s">
        <v>41</v>
      </c>
      <c r="P113" s="44">
        <f>VLOOKUP(A113,[2]clean!$A$2:$F$160,6,FALSE)</f>
        <v>0.37289898081154998</v>
      </c>
      <c r="Q113" s="38" t="s">
        <v>43</v>
      </c>
      <c r="R113" s="38" t="s">
        <v>43</v>
      </c>
      <c r="S113" s="38" t="s">
        <v>43</v>
      </c>
      <c r="T113" s="38" t="s">
        <v>43</v>
      </c>
      <c r="U113" s="38" t="s">
        <v>100</v>
      </c>
      <c r="V113" s="38" t="s">
        <v>43</v>
      </c>
    </row>
    <row r="114" spans="1:22" ht="33.75" x14ac:dyDescent="0.15">
      <c r="A114" s="38" t="s">
        <v>671</v>
      </c>
      <c r="B114" s="38" t="s">
        <v>215</v>
      </c>
      <c r="C114" s="34" t="s">
        <v>1038</v>
      </c>
      <c r="D114" s="38" t="str">
        <f>VLOOKUP($A114,[1]Sheet1!$A$2:$G$249,2,FALSE)</f>
        <v>Asia</v>
      </c>
      <c r="E114" s="38" t="s">
        <v>216</v>
      </c>
      <c r="F114" s="38" t="s">
        <v>41</v>
      </c>
      <c r="G114" s="38"/>
      <c r="H114" s="38" t="s">
        <v>1039</v>
      </c>
      <c r="I114" s="38" t="s">
        <v>41</v>
      </c>
      <c r="J114" s="38" t="s">
        <v>74</v>
      </c>
      <c r="K114" s="38"/>
      <c r="L114" s="38" t="s">
        <v>43</v>
      </c>
      <c r="M114" s="38"/>
      <c r="N114" s="38"/>
      <c r="O114" s="38"/>
      <c r="P114" s="44">
        <f>VLOOKUP(A114,[2]clean!$A$2:$F$160,6,FALSE)</f>
        <v>0.22527886749217499</v>
      </c>
      <c r="Q114" s="38" t="s">
        <v>41</v>
      </c>
      <c r="R114" s="38" t="s">
        <v>43</v>
      </c>
      <c r="S114" s="38" t="s">
        <v>43</v>
      </c>
      <c r="T114" s="38" t="s">
        <v>43</v>
      </c>
      <c r="U114" s="38"/>
      <c r="V114" s="38" t="s">
        <v>43</v>
      </c>
    </row>
    <row r="115" spans="1:22" ht="22.5" customHeight="1" x14ac:dyDescent="0.15">
      <c r="A115" s="38" t="s">
        <v>676</v>
      </c>
      <c r="B115" s="38"/>
      <c r="C115" s="34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44"/>
      <c r="Q115" s="38"/>
      <c r="R115" s="38"/>
      <c r="S115" s="38"/>
      <c r="T115" s="38"/>
      <c r="U115" s="38"/>
      <c r="V115" s="38"/>
    </row>
    <row r="116" spans="1:22" ht="56.25" x14ac:dyDescent="0.15">
      <c r="A116" s="38" t="s">
        <v>681</v>
      </c>
      <c r="B116" s="38" t="s">
        <v>64</v>
      </c>
      <c r="C116" s="34" t="s">
        <v>682</v>
      </c>
      <c r="D116" s="38" t="str">
        <f>VLOOKUP($A116,[1]Sheet1!$A$2:$G$249,2,FALSE)</f>
        <v>Asia</v>
      </c>
      <c r="E116" s="38" t="s">
        <v>104</v>
      </c>
      <c r="F116" s="38" t="s">
        <v>43</v>
      </c>
      <c r="G116" s="38" t="s">
        <v>117</v>
      </c>
      <c r="H116" s="38" t="s">
        <v>680</v>
      </c>
      <c r="I116" s="38" t="s">
        <v>43</v>
      </c>
      <c r="J116" s="38" t="s">
        <v>93</v>
      </c>
      <c r="K116" s="38"/>
      <c r="L116" s="38" t="s">
        <v>43</v>
      </c>
      <c r="M116" s="38"/>
      <c r="N116" s="38"/>
      <c r="O116" s="38"/>
      <c r="P116" s="44" t="e">
        <f>VLOOKUP(A116,[2]clean!$A$2:$F$160,6,FALSE)</f>
        <v>#N/A</v>
      </c>
      <c r="Q116" s="38" t="s">
        <v>43</v>
      </c>
      <c r="R116" s="38" t="s">
        <v>43</v>
      </c>
      <c r="S116" s="38" t="s">
        <v>43</v>
      </c>
      <c r="T116" s="38" t="s">
        <v>43</v>
      </c>
      <c r="U116" s="38"/>
      <c r="V116" s="38" t="s">
        <v>43</v>
      </c>
    </row>
    <row r="117" spans="1:22" ht="33.75" x14ac:dyDescent="0.15">
      <c r="A117" s="38" t="s">
        <v>684</v>
      </c>
      <c r="B117" s="38" t="s">
        <v>53</v>
      </c>
      <c r="C117" s="34" t="s">
        <v>1040</v>
      </c>
      <c r="D117" s="38" t="str">
        <f>VLOOKUP($A117,[1]Sheet1!$A$2:$G$249,2,FALSE)</f>
        <v>Asia</v>
      </c>
      <c r="E117" s="38" t="s">
        <v>467</v>
      </c>
      <c r="F117" s="38" t="s">
        <v>41</v>
      </c>
      <c r="G117" s="38"/>
      <c r="H117" s="38" t="s">
        <v>683</v>
      </c>
      <c r="I117" s="38" t="s">
        <v>41</v>
      </c>
      <c r="J117" s="38" t="s">
        <v>74</v>
      </c>
      <c r="K117" s="38"/>
      <c r="L117" s="38" t="s">
        <v>43</v>
      </c>
      <c r="M117" s="38"/>
      <c r="N117" s="38"/>
      <c r="O117" s="38"/>
      <c r="P117" s="44">
        <f>VLOOKUP(A117,[2]clean!$A$2:$F$160,6,FALSE)</f>
        <v>0.257172648997752</v>
      </c>
      <c r="Q117" s="38" t="s">
        <v>43</v>
      </c>
      <c r="R117" s="38" t="s">
        <v>43</v>
      </c>
      <c r="S117" s="38" t="s">
        <v>41</v>
      </c>
      <c r="T117" s="38" t="s">
        <v>43</v>
      </c>
      <c r="U117" s="38"/>
      <c r="V117" s="38" t="s">
        <v>43</v>
      </c>
    </row>
    <row r="118" spans="1:22" ht="33.75" x14ac:dyDescent="0.15">
      <c r="A118" s="38" t="s">
        <v>690</v>
      </c>
      <c r="B118" s="38" t="s">
        <v>145</v>
      </c>
      <c r="C118" s="34" t="s">
        <v>691</v>
      </c>
      <c r="D118" s="38" t="str">
        <f>VLOOKUP($A118,[1]Sheet1!$A$2:$G$249,2,FALSE)</f>
        <v>Africa</v>
      </c>
      <c r="E118" s="38" t="s">
        <v>73</v>
      </c>
      <c r="F118" s="38" t="s">
        <v>41</v>
      </c>
      <c r="G118" s="38"/>
      <c r="H118" s="38" t="s">
        <v>1041</v>
      </c>
      <c r="I118" s="38" t="s">
        <v>41</v>
      </c>
      <c r="J118" s="38" t="s">
        <v>74</v>
      </c>
      <c r="K118" s="38" t="s">
        <v>45</v>
      </c>
      <c r="L118" s="38" t="s">
        <v>43</v>
      </c>
      <c r="M118" s="38" t="s">
        <v>41</v>
      </c>
      <c r="N118" s="38" t="s">
        <v>41</v>
      </c>
      <c r="O118" s="38"/>
      <c r="P118" s="44">
        <f>VLOOKUP(A118,[2]clean!$A$2:$F$160,6,FALSE)</f>
        <v>0.230106486610026</v>
      </c>
      <c r="Q118" s="38" t="s">
        <v>41</v>
      </c>
      <c r="R118" s="38" t="s">
        <v>43</v>
      </c>
      <c r="S118" s="38" t="s">
        <v>43</v>
      </c>
      <c r="T118" s="38" t="s">
        <v>43</v>
      </c>
      <c r="U118" s="38" t="s">
        <v>79</v>
      </c>
      <c r="V118" s="38" t="s">
        <v>41</v>
      </c>
    </row>
    <row r="119" spans="1:22" ht="33.75" customHeight="1" x14ac:dyDescent="0.15">
      <c r="A119" s="38" t="s">
        <v>696</v>
      </c>
      <c r="B119" s="38" t="s">
        <v>53</v>
      </c>
      <c r="C119" s="34" t="s">
        <v>1042</v>
      </c>
      <c r="D119" s="38" t="str">
        <f>VLOOKUP($A119,[1]Sheet1!$A$2:$G$249,2,FALSE)</f>
        <v>Asia</v>
      </c>
      <c r="E119" s="38" t="s">
        <v>467</v>
      </c>
      <c r="F119" s="38" t="s">
        <v>41</v>
      </c>
      <c r="G119" s="38"/>
      <c r="H119" s="38" t="s">
        <v>1043</v>
      </c>
      <c r="I119" s="38" t="s">
        <v>43</v>
      </c>
      <c r="J119" s="38" t="s">
        <v>74</v>
      </c>
      <c r="K119" s="38"/>
      <c r="L119" s="38" t="s">
        <v>43</v>
      </c>
      <c r="M119" s="38"/>
      <c r="N119" s="38"/>
      <c r="O119" s="38"/>
      <c r="P119" s="44">
        <f>VLOOKUP(A119,[2]clean!$A$2:$F$160,6,FALSE)</f>
        <v>0.25265551426849803</v>
      </c>
      <c r="Q119" s="38" t="s">
        <v>43</v>
      </c>
      <c r="R119" s="38" t="s">
        <v>43</v>
      </c>
      <c r="S119" s="38" t="s">
        <v>41</v>
      </c>
      <c r="T119" s="38" t="s">
        <v>43</v>
      </c>
      <c r="U119" s="38"/>
      <c r="V119" s="38" t="s">
        <v>43</v>
      </c>
    </row>
    <row r="120" spans="1:22" ht="33.75" x14ac:dyDescent="0.15">
      <c r="A120" s="38" t="s">
        <v>701</v>
      </c>
      <c r="B120" s="38" t="s">
        <v>53</v>
      </c>
      <c r="C120" s="34" t="s">
        <v>1044</v>
      </c>
      <c r="D120" s="38" t="str">
        <f>VLOOKUP($A120,[1]Sheet1!$A$2:$G$249,2,FALSE)</f>
        <v>Europe</v>
      </c>
      <c r="E120" s="38" t="s">
        <v>55</v>
      </c>
      <c r="F120" s="38" t="s">
        <v>41</v>
      </c>
      <c r="G120" s="38"/>
      <c r="H120" s="38" t="s">
        <v>700</v>
      </c>
      <c r="I120" s="38" t="s">
        <v>43</v>
      </c>
      <c r="J120" s="38" t="s">
        <v>56</v>
      </c>
      <c r="K120" s="38"/>
      <c r="L120" s="38" t="s">
        <v>43</v>
      </c>
      <c r="M120" s="38"/>
      <c r="N120" s="38"/>
      <c r="O120" s="38"/>
      <c r="P120" s="44">
        <f>VLOOKUP(A120,[2]clean!$A$2:$F$160,6,FALSE)</f>
        <v>0.155386341188327</v>
      </c>
      <c r="Q120" s="38" t="s">
        <v>43</v>
      </c>
      <c r="R120" s="38" t="s">
        <v>43</v>
      </c>
      <c r="S120" s="38" t="s">
        <v>43</v>
      </c>
      <c r="T120" s="38" t="s">
        <v>43</v>
      </c>
      <c r="U120" s="38"/>
      <c r="V120" s="38" t="s">
        <v>43</v>
      </c>
    </row>
    <row r="121" spans="1:22" ht="45" customHeight="1" x14ac:dyDescent="0.15">
      <c r="A121" s="38" t="s">
        <v>706</v>
      </c>
      <c r="B121" s="38" t="s">
        <v>72</v>
      </c>
      <c r="C121" s="34" t="s">
        <v>1045</v>
      </c>
      <c r="D121" s="38" t="str">
        <f>VLOOKUP($A121,[1]Sheet1!$A$2:$G$249,2,FALSE)</f>
        <v>Africa</v>
      </c>
      <c r="E121" s="38" t="s">
        <v>73</v>
      </c>
      <c r="F121" s="38" t="s">
        <v>41</v>
      </c>
      <c r="G121" s="38"/>
      <c r="H121" s="38" t="s">
        <v>705</v>
      </c>
      <c r="I121" s="38" t="s">
        <v>41</v>
      </c>
      <c r="J121" s="38" t="s">
        <v>44</v>
      </c>
      <c r="K121" s="38" t="s">
        <v>45</v>
      </c>
      <c r="L121" s="38" t="s">
        <v>43</v>
      </c>
      <c r="M121" s="38" t="s">
        <v>41</v>
      </c>
      <c r="N121" s="38" t="s">
        <v>41</v>
      </c>
      <c r="O121" s="38"/>
      <c r="P121" s="44">
        <f>VLOOKUP(A121,[2]clean!$A$2:$F$160,6,FALSE)</f>
        <v>0.27671598121058</v>
      </c>
      <c r="Q121" s="38" t="s">
        <v>41</v>
      </c>
      <c r="R121" s="38" t="s">
        <v>41</v>
      </c>
      <c r="S121" s="38" t="s">
        <v>43</v>
      </c>
      <c r="T121" s="38" t="s">
        <v>43</v>
      </c>
      <c r="U121" s="38" t="s">
        <v>208</v>
      </c>
      <c r="V121" s="38" t="s">
        <v>41</v>
      </c>
    </row>
    <row r="122" spans="1:22" ht="22.5" x14ac:dyDescent="0.15">
      <c r="A122" s="38" t="s">
        <v>712</v>
      </c>
      <c r="B122" s="38" t="s">
        <v>53</v>
      </c>
      <c r="C122" s="34" t="s">
        <v>1046</v>
      </c>
      <c r="D122" s="38" t="str">
        <f>VLOOKUP($A122,[1]Sheet1!$A$2:$G$249,2,FALSE)</f>
        <v>Europe</v>
      </c>
      <c r="E122" s="38" t="s">
        <v>132</v>
      </c>
      <c r="F122" s="38" t="s">
        <v>41</v>
      </c>
      <c r="G122" s="38"/>
      <c r="H122" s="38" t="s">
        <v>1047</v>
      </c>
      <c r="I122" s="38" t="s">
        <v>43</v>
      </c>
      <c r="J122" s="38" t="s">
        <v>93</v>
      </c>
      <c r="K122" s="38"/>
      <c r="L122" s="38" t="s">
        <v>43</v>
      </c>
      <c r="M122" s="38" t="s">
        <v>41</v>
      </c>
      <c r="N122" s="38"/>
      <c r="O122" s="38" t="s">
        <v>41</v>
      </c>
      <c r="P122" s="44">
        <f>VLOOKUP(A122,[2]clean!$A$2:$F$160,6,FALSE)</f>
        <v>0.57260194367254402</v>
      </c>
      <c r="Q122" s="38" t="s">
        <v>43</v>
      </c>
      <c r="R122" s="38" t="s">
        <v>43</v>
      </c>
      <c r="S122" s="38" t="s">
        <v>43</v>
      </c>
      <c r="T122" s="38" t="s">
        <v>43</v>
      </c>
      <c r="U122" s="38"/>
      <c r="V122" s="38" t="s">
        <v>43</v>
      </c>
    </row>
    <row r="123" spans="1:22" ht="22.5" x14ac:dyDescent="0.15">
      <c r="A123" s="38" t="s">
        <v>718</v>
      </c>
      <c r="B123" s="38" t="s">
        <v>72</v>
      </c>
      <c r="C123" s="34" t="s">
        <v>1048</v>
      </c>
      <c r="D123" s="38" t="str">
        <f>VLOOKUP($A123,[1]Sheet1!$A$2:$G$249,2,FALSE)</f>
        <v>Africa</v>
      </c>
      <c r="E123" s="38" t="s">
        <v>73</v>
      </c>
      <c r="F123" s="38" t="s">
        <v>41</v>
      </c>
      <c r="G123" s="38"/>
      <c r="H123" s="38" t="s">
        <v>717</v>
      </c>
      <c r="I123" s="38" t="s">
        <v>41</v>
      </c>
      <c r="J123" s="38" t="s">
        <v>44</v>
      </c>
      <c r="K123" s="38"/>
      <c r="L123" s="38" t="s">
        <v>43</v>
      </c>
      <c r="M123" s="38"/>
      <c r="N123" s="38"/>
      <c r="O123" s="38"/>
      <c r="P123" s="44">
        <f>VLOOKUP(A123,[2]clean!$A$2:$F$160,6,FALSE)</f>
        <v>6.2685625907517195E-2</v>
      </c>
      <c r="Q123" s="38" t="s">
        <v>41</v>
      </c>
      <c r="R123" s="38" t="s">
        <v>41</v>
      </c>
      <c r="S123" s="38" t="s">
        <v>41</v>
      </c>
      <c r="T123" s="38" t="s">
        <v>43</v>
      </c>
      <c r="U123" s="38" t="s">
        <v>208</v>
      </c>
      <c r="V123" s="38" t="s">
        <v>43</v>
      </c>
    </row>
    <row r="124" spans="1:22" ht="56.25" x14ac:dyDescent="0.15">
      <c r="A124" s="38" t="s">
        <v>724</v>
      </c>
      <c r="B124" s="38" t="s">
        <v>215</v>
      </c>
      <c r="C124" s="34" t="s">
        <v>725</v>
      </c>
      <c r="D124" s="38" t="str">
        <f>VLOOKUP($A124,[1]Sheet1!$A$2:$G$249,2,FALSE)</f>
        <v>Oceania</v>
      </c>
      <c r="E124" s="38" t="s">
        <v>270</v>
      </c>
      <c r="F124" s="38" t="s">
        <v>43</v>
      </c>
      <c r="G124" s="38" t="s">
        <v>271</v>
      </c>
      <c r="H124" s="38" t="s">
        <v>723</v>
      </c>
      <c r="I124" s="38" t="s">
        <v>43</v>
      </c>
      <c r="J124" s="38" t="s">
        <v>74</v>
      </c>
      <c r="K124" s="38"/>
      <c r="L124" s="38" t="s">
        <v>43</v>
      </c>
      <c r="M124" s="38"/>
      <c r="N124" s="38"/>
      <c r="O124" s="38"/>
      <c r="P124" s="44" t="e">
        <f>VLOOKUP(A124,[2]clean!$A$2:$F$160,6,FALSE)</f>
        <v>#N/A</v>
      </c>
      <c r="Q124" s="38" t="s">
        <v>43</v>
      </c>
      <c r="R124" s="38" t="s">
        <v>43</v>
      </c>
      <c r="S124" s="38" t="s">
        <v>43</v>
      </c>
      <c r="T124" s="38" t="s">
        <v>41</v>
      </c>
      <c r="U124" s="38"/>
      <c r="V124" s="38" t="s">
        <v>43</v>
      </c>
    </row>
    <row r="125" spans="1:22" ht="33.75" customHeight="1" x14ac:dyDescent="0.15">
      <c r="A125" s="38" t="s">
        <v>727</v>
      </c>
      <c r="B125" s="38" t="s">
        <v>145</v>
      </c>
      <c r="C125" s="34" t="s">
        <v>1049</v>
      </c>
      <c r="D125" s="38" t="str">
        <f>VLOOKUP($A125,[1]Sheet1!$A$2:$G$249,2,FALSE)</f>
        <v>Africa</v>
      </c>
      <c r="E125" s="38" t="s">
        <v>73</v>
      </c>
      <c r="F125" s="38" t="s">
        <v>41</v>
      </c>
      <c r="G125" s="38"/>
      <c r="H125" s="38" t="s">
        <v>726</v>
      </c>
      <c r="I125" s="38" t="s">
        <v>43</v>
      </c>
      <c r="J125" s="38" t="s">
        <v>74</v>
      </c>
      <c r="K125" s="38" t="s">
        <v>203</v>
      </c>
      <c r="L125" s="38" t="s">
        <v>43</v>
      </c>
      <c r="M125" s="38"/>
      <c r="N125" s="38"/>
      <c r="O125" s="38"/>
      <c r="P125" s="44">
        <f>VLOOKUP(A125,[2]clean!$A$2:$F$160,6,FALSE)</f>
        <v>7.1537648718531299E-2</v>
      </c>
      <c r="Q125" s="38" t="s">
        <v>43</v>
      </c>
      <c r="R125" s="38" t="s">
        <v>43</v>
      </c>
      <c r="S125" s="38" t="s">
        <v>43</v>
      </c>
      <c r="T125" s="38" t="s">
        <v>41</v>
      </c>
      <c r="U125" s="38" t="s">
        <v>79</v>
      </c>
      <c r="V125" s="38" t="s">
        <v>43</v>
      </c>
    </row>
    <row r="126" spans="1:22" ht="56.25" x14ac:dyDescent="0.15">
      <c r="A126" s="48" t="s">
        <v>115</v>
      </c>
      <c r="B126" s="48" t="s">
        <v>64</v>
      </c>
      <c r="C126" s="35" t="s">
        <v>731</v>
      </c>
      <c r="D126" s="48" t="str">
        <f>VLOOKUP($A126,[1]Sheet1!$A$2:$G$249,2,FALSE)</f>
        <v>Asia</v>
      </c>
      <c r="E126" s="48" t="s">
        <v>104</v>
      </c>
      <c r="F126" s="38" t="s">
        <v>41</v>
      </c>
      <c r="G126" s="38" t="s">
        <v>117</v>
      </c>
      <c r="H126" s="48" t="s">
        <v>730</v>
      </c>
      <c r="I126" s="48" t="s">
        <v>43</v>
      </c>
      <c r="J126" s="48" t="s">
        <v>93</v>
      </c>
      <c r="K126" s="48"/>
      <c r="L126" s="48" t="s">
        <v>43</v>
      </c>
      <c r="M126" s="48"/>
      <c r="N126" s="38"/>
      <c r="O126" s="38"/>
      <c r="P126" s="50">
        <f>VLOOKUP(A126,[2]clean!$A$2:$F$160,6,FALSE)</f>
        <v>1.19859288207109E-5</v>
      </c>
      <c r="Q126" s="48" t="s">
        <v>43</v>
      </c>
      <c r="R126" s="48" t="s">
        <v>43</v>
      </c>
      <c r="S126" s="48" t="s">
        <v>43</v>
      </c>
      <c r="T126" s="48" t="s">
        <v>43</v>
      </c>
      <c r="U126" s="48"/>
      <c r="V126" s="48" t="s">
        <v>43</v>
      </c>
    </row>
    <row r="127" spans="1:22" ht="22.5" x14ac:dyDescent="0.15">
      <c r="A127" s="38" t="s">
        <v>115</v>
      </c>
      <c r="B127" s="38" t="s">
        <v>64</v>
      </c>
      <c r="C127" s="34" t="s">
        <v>1050</v>
      </c>
      <c r="D127" s="38" t="str">
        <f>VLOOKUP($A127,[1]Sheet1!$A$2:$G$249,2,FALSE)</f>
        <v>Asia</v>
      </c>
      <c r="E127" s="38" t="s">
        <v>104</v>
      </c>
      <c r="F127" s="38" t="s">
        <v>41</v>
      </c>
      <c r="G127" s="38"/>
      <c r="H127" s="38" t="s">
        <v>730</v>
      </c>
      <c r="I127" s="38" t="s">
        <v>43</v>
      </c>
      <c r="J127" s="38" t="s">
        <v>93</v>
      </c>
      <c r="K127" s="38"/>
      <c r="L127" s="38" t="s">
        <v>43</v>
      </c>
      <c r="M127" s="38"/>
      <c r="N127" s="38"/>
      <c r="O127" s="38"/>
      <c r="P127" s="44">
        <f>VLOOKUP(A127,[2]clean!$A$2:$F$160,6,FALSE)</f>
        <v>1.19859288207109E-5</v>
      </c>
      <c r="Q127" s="38" t="s">
        <v>43</v>
      </c>
      <c r="R127" s="38" t="s">
        <v>43</v>
      </c>
      <c r="S127" s="38" t="s">
        <v>43</v>
      </c>
      <c r="T127" s="38" t="s">
        <v>43</v>
      </c>
      <c r="U127" s="38"/>
      <c r="V127" s="38" t="s">
        <v>43</v>
      </c>
    </row>
    <row r="128" spans="1:22" ht="45" customHeight="1" x14ac:dyDescent="0.15">
      <c r="A128" s="38" t="s">
        <v>736</v>
      </c>
      <c r="B128" s="38" t="s">
        <v>145</v>
      </c>
      <c r="C128" s="34" t="s">
        <v>1051</v>
      </c>
      <c r="D128" s="38" t="str">
        <f>VLOOKUP($A128,[1]Sheet1!$A$2:$G$249,2,FALSE)</f>
        <v>Africa</v>
      </c>
      <c r="E128" s="38" t="s">
        <v>73</v>
      </c>
      <c r="F128" s="38" t="s">
        <v>41</v>
      </c>
      <c r="G128" s="38"/>
      <c r="H128" s="38" t="s">
        <v>735</v>
      </c>
      <c r="I128" s="38" t="s">
        <v>43</v>
      </c>
      <c r="J128" s="38" t="s">
        <v>74</v>
      </c>
      <c r="K128" s="38"/>
      <c r="L128" s="38" t="s">
        <v>43</v>
      </c>
      <c r="M128" s="38"/>
      <c r="N128" s="38"/>
      <c r="O128" s="38"/>
      <c r="P128" s="44">
        <f>VLOOKUP(A128,[2]clean!$A$2:$F$160,6,FALSE)</f>
        <v>9.0358320664285299E-2</v>
      </c>
      <c r="Q128" s="38" t="s">
        <v>41</v>
      </c>
      <c r="R128" s="38" t="s">
        <v>41</v>
      </c>
      <c r="S128" s="38" t="s">
        <v>43</v>
      </c>
      <c r="T128" s="38" t="s">
        <v>43</v>
      </c>
      <c r="U128" s="38" t="s">
        <v>150</v>
      </c>
      <c r="V128" s="38" t="s">
        <v>43</v>
      </c>
    </row>
    <row r="129" spans="1:22" ht="33.75" x14ac:dyDescent="0.15">
      <c r="A129" s="38" t="s">
        <v>741</v>
      </c>
      <c r="B129" s="38" t="s">
        <v>53</v>
      </c>
      <c r="C129" s="34" t="s">
        <v>1052</v>
      </c>
      <c r="D129" s="38" t="str">
        <f>VLOOKUP($A129,[1]Sheet1!$A$2:$G$249,2,FALSE)</f>
        <v>Europe</v>
      </c>
      <c r="E129" s="38" t="s">
        <v>55</v>
      </c>
      <c r="F129" s="38" t="s">
        <v>41</v>
      </c>
      <c r="G129" s="38"/>
      <c r="H129" s="38" t="s">
        <v>740</v>
      </c>
      <c r="I129" s="38" t="s">
        <v>43</v>
      </c>
      <c r="J129" s="38" t="s">
        <v>56</v>
      </c>
      <c r="K129" s="38"/>
      <c r="L129" s="38" t="s">
        <v>43</v>
      </c>
      <c r="M129" s="38"/>
      <c r="N129" s="38"/>
      <c r="O129" s="38"/>
      <c r="P129" s="44">
        <f>VLOOKUP(A129,[2]clean!$A$2:$F$160,6,FALSE)</f>
        <v>8.3867488870007501E-2</v>
      </c>
      <c r="Q129" s="38" t="s">
        <v>43</v>
      </c>
      <c r="R129" s="38" t="s">
        <v>43</v>
      </c>
      <c r="S129" s="38" t="s">
        <v>43</v>
      </c>
      <c r="T129" s="38" t="s">
        <v>43</v>
      </c>
      <c r="U129" s="38"/>
      <c r="V129" s="38" t="s">
        <v>43</v>
      </c>
    </row>
    <row r="130" spans="1:22" ht="22.5" x14ac:dyDescent="0.15">
      <c r="A130" s="38" t="s">
        <v>746</v>
      </c>
      <c r="B130" s="38" t="s">
        <v>145</v>
      </c>
      <c r="C130" s="34" t="s">
        <v>1053</v>
      </c>
      <c r="D130" s="38" t="str">
        <f>VLOOKUP($A130,[1]Sheet1!$A$2:$G$249,2,FALSE)</f>
        <v>Africa</v>
      </c>
      <c r="E130" s="38" t="s">
        <v>73</v>
      </c>
      <c r="F130" s="38" t="s">
        <v>41</v>
      </c>
      <c r="G130" s="38"/>
      <c r="H130" s="38" t="s">
        <v>1054</v>
      </c>
      <c r="I130" s="38" t="s">
        <v>43</v>
      </c>
      <c r="J130" s="38" t="s">
        <v>44</v>
      </c>
      <c r="K130" s="38"/>
      <c r="L130" s="38" t="s">
        <v>43</v>
      </c>
      <c r="M130" s="38"/>
      <c r="N130" s="38"/>
      <c r="O130" s="38"/>
      <c r="P130" s="44">
        <f>VLOOKUP(A130,[2]clean!$A$2:$F$160,6,FALSE)</f>
        <v>0.13273343304204599</v>
      </c>
      <c r="Q130" s="38" t="s">
        <v>41</v>
      </c>
      <c r="R130" s="38" t="s">
        <v>41</v>
      </c>
      <c r="S130" s="38" t="s">
        <v>43</v>
      </c>
      <c r="T130" s="38" t="s">
        <v>43</v>
      </c>
      <c r="U130" s="38" t="s">
        <v>150</v>
      </c>
      <c r="V130" s="38" t="s">
        <v>43</v>
      </c>
    </row>
    <row r="131" spans="1:22" ht="11.25" customHeight="1" x14ac:dyDescent="0.15">
      <c r="A131" s="38" t="s">
        <v>752</v>
      </c>
      <c r="B131" s="38" t="s">
        <v>215</v>
      </c>
      <c r="C131" s="34" t="s">
        <v>753</v>
      </c>
      <c r="D131" s="38" t="str">
        <f>VLOOKUP($A131,[1]Sheet1!$A$2:$G$249,2,FALSE)</f>
        <v>Oceania</v>
      </c>
      <c r="E131" s="38" t="s">
        <v>362</v>
      </c>
      <c r="F131" s="38" t="s">
        <v>43</v>
      </c>
      <c r="G131" s="38" t="s">
        <v>271</v>
      </c>
      <c r="H131" s="38" t="s">
        <v>751</v>
      </c>
      <c r="I131" s="38" t="s">
        <v>43</v>
      </c>
      <c r="J131" s="38" t="s">
        <v>74</v>
      </c>
      <c r="K131" s="38" t="s">
        <v>203</v>
      </c>
      <c r="L131" s="38" t="s">
        <v>43</v>
      </c>
      <c r="M131" s="38"/>
      <c r="N131" s="38"/>
      <c r="O131" s="38"/>
      <c r="P131" s="44" t="e">
        <f>VLOOKUP(A131,[2]clean!$A$2:$F$160,6,FALSE)</f>
        <v>#N/A</v>
      </c>
      <c r="Q131" s="38" t="s">
        <v>43</v>
      </c>
      <c r="R131" s="38" t="s">
        <v>41</v>
      </c>
      <c r="S131" s="38" t="s">
        <v>43</v>
      </c>
      <c r="T131" s="38" t="s">
        <v>41</v>
      </c>
      <c r="U131" s="38"/>
      <c r="V131" s="38" t="s">
        <v>43</v>
      </c>
    </row>
    <row r="132" spans="1:22" ht="22.5" x14ac:dyDescent="0.15">
      <c r="A132" s="38" t="s">
        <v>755</v>
      </c>
      <c r="B132" s="38" t="s">
        <v>72</v>
      </c>
      <c r="C132" s="34" t="s">
        <v>1055</v>
      </c>
      <c r="D132" s="38" t="str">
        <f>VLOOKUP($A132,[1]Sheet1!$A$2:$G$249,2,FALSE)</f>
        <v>Africa</v>
      </c>
      <c r="E132" s="38" t="s">
        <v>73</v>
      </c>
      <c r="F132" s="38" t="s">
        <v>41</v>
      </c>
      <c r="G132" s="38"/>
      <c r="H132" s="38" t="s">
        <v>754</v>
      </c>
      <c r="I132" s="38" t="s">
        <v>43</v>
      </c>
      <c r="J132" s="38" t="s">
        <v>44</v>
      </c>
      <c r="K132" s="38" t="s">
        <v>45</v>
      </c>
      <c r="L132" s="38" t="s">
        <v>41</v>
      </c>
      <c r="M132" s="38" t="s">
        <v>41</v>
      </c>
      <c r="N132" s="38" t="s">
        <v>41</v>
      </c>
      <c r="O132" s="38"/>
      <c r="P132" s="44">
        <f>VLOOKUP(A132,[2]clean!$A$2:$F$160,6,FALSE)</f>
        <v>0.43841776287894901</v>
      </c>
      <c r="Q132" s="38" t="s">
        <v>41</v>
      </c>
      <c r="R132" s="38" t="s">
        <v>41</v>
      </c>
      <c r="S132" s="38" t="s">
        <v>43</v>
      </c>
      <c r="T132" s="38" t="s">
        <v>43</v>
      </c>
      <c r="U132" s="38" t="s">
        <v>208</v>
      </c>
      <c r="V132" s="38" t="s">
        <v>41</v>
      </c>
    </row>
    <row r="133" spans="1:22" ht="33.75" x14ac:dyDescent="0.15">
      <c r="A133" s="38" t="s">
        <v>761</v>
      </c>
      <c r="B133" s="38" t="s">
        <v>72</v>
      </c>
      <c r="C133" s="34" t="s">
        <v>1056</v>
      </c>
      <c r="D133" s="38" t="str">
        <f>VLOOKUP($A133,[1]Sheet1!$A$2:$G$249,2,FALSE)</f>
        <v>Africa</v>
      </c>
      <c r="E133" s="38" t="s">
        <v>73</v>
      </c>
      <c r="F133" s="38" t="s">
        <v>41</v>
      </c>
      <c r="G133" s="38"/>
      <c r="H133" s="38" t="s">
        <v>1057</v>
      </c>
      <c r="I133" s="38" t="s">
        <v>41</v>
      </c>
      <c r="J133" s="38" t="s">
        <v>56</v>
      </c>
      <c r="K133" s="38"/>
      <c r="L133" s="38" t="s">
        <v>43</v>
      </c>
      <c r="M133" s="38"/>
      <c r="N133" s="38"/>
      <c r="O133" s="38"/>
      <c r="P133" s="44">
        <f>VLOOKUP(A133,[2]clean!$A$2:$F$160,6,FALSE)</f>
        <v>0.104857950905444</v>
      </c>
      <c r="Q133" s="38" t="s">
        <v>43</v>
      </c>
      <c r="R133" s="38" t="s">
        <v>43</v>
      </c>
      <c r="S133" s="38" t="s">
        <v>43</v>
      </c>
      <c r="T133" s="38" t="s">
        <v>43</v>
      </c>
      <c r="U133" s="38" t="s">
        <v>176</v>
      </c>
      <c r="V133" s="38" t="s">
        <v>43</v>
      </c>
    </row>
    <row r="134" spans="1:22" ht="22.5" x14ac:dyDescent="0.15">
      <c r="A134" s="38" t="s">
        <v>766</v>
      </c>
      <c r="B134" s="38" t="s">
        <v>72</v>
      </c>
      <c r="C134" s="34" t="s">
        <v>1058</v>
      </c>
      <c r="D134" s="38" t="str">
        <f>VLOOKUP($A134,[1]Sheet1!$A$2:$G$249,2,FALSE)</f>
        <v>Africa</v>
      </c>
      <c r="E134" s="38" t="s">
        <v>73</v>
      </c>
      <c r="F134" s="38" t="s">
        <v>41</v>
      </c>
      <c r="G134" s="38"/>
      <c r="H134" s="38" t="s">
        <v>765</v>
      </c>
      <c r="I134" s="38" t="s">
        <v>43</v>
      </c>
      <c r="J134" s="38" t="s">
        <v>44</v>
      </c>
      <c r="K134" s="38" t="s">
        <v>45</v>
      </c>
      <c r="L134" s="38" t="s">
        <v>41</v>
      </c>
      <c r="M134" s="38" t="s">
        <v>41</v>
      </c>
      <c r="N134" s="38" t="s">
        <v>41</v>
      </c>
      <c r="O134" s="38"/>
      <c r="P134" s="44">
        <f>VLOOKUP(A134,[2]clean!$A$2:$F$160,6,FALSE)</f>
        <v>0.28864038282433502</v>
      </c>
      <c r="Q134" s="38" t="s">
        <v>41</v>
      </c>
      <c r="R134" s="38" t="s">
        <v>41</v>
      </c>
      <c r="S134" s="38" t="s">
        <v>41</v>
      </c>
      <c r="T134" s="38" t="s">
        <v>43</v>
      </c>
      <c r="U134" s="38" t="s">
        <v>208</v>
      </c>
      <c r="V134" s="38" t="s">
        <v>41</v>
      </c>
    </row>
    <row r="135" spans="1:22" ht="33.75" x14ac:dyDescent="0.15">
      <c r="A135" s="38" t="s">
        <v>772</v>
      </c>
      <c r="B135" s="38" t="s">
        <v>38</v>
      </c>
      <c r="C135" s="34" t="s">
        <v>773</v>
      </c>
      <c r="D135" s="38" t="str">
        <f>VLOOKUP($A135,[1]Sheet1!$A$2:$G$249,2,FALSE)</f>
        <v>Asia</v>
      </c>
      <c r="E135" s="38" t="s">
        <v>40</v>
      </c>
      <c r="F135" s="38" t="s">
        <v>41</v>
      </c>
      <c r="G135" s="38"/>
      <c r="H135" s="38" t="s">
        <v>1059</v>
      </c>
      <c r="I135" s="38" t="s">
        <v>43</v>
      </c>
      <c r="J135" s="38" t="s">
        <v>74</v>
      </c>
      <c r="K135" s="38"/>
      <c r="L135" s="38" t="s">
        <v>43</v>
      </c>
      <c r="M135" s="38"/>
      <c r="N135" s="38"/>
      <c r="O135" s="38"/>
      <c r="P135" s="44">
        <f>VLOOKUP(A135,[2]clean!$A$2:$F$160,6,FALSE)</f>
        <v>0.66538581424577703</v>
      </c>
      <c r="Q135" s="38" t="s">
        <v>43</v>
      </c>
      <c r="R135" s="38" t="s">
        <v>43</v>
      </c>
      <c r="S135" s="38" t="s">
        <v>43</v>
      </c>
      <c r="T135" s="38" t="s">
        <v>43</v>
      </c>
      <c r="U135" s="38"/>
      <c r="V135" s="38" t="s">
        <v>43</v>
      </c>
    </row>
    <row r="136" spans="1:22" s="49" customFormat="1" ht="56.25" x14ac:dyDescent="0.15">
      <c r="A136" s="38" t="s">
        <v>779</v>
      </c>
      <c r="B136" s="38" t="s">
        <v>84</v>
      </c>
      <c r="C136" s="34" t="s">
        <v>780</v>
      </c>
      <c r="D136" s="38" t="str">
        <f>VLOOKUP($A136,[1]Sheet1!$A$2:$G$249,2,FALSE)</f>
        <v>Americas</v>
      </c>
      <c r="E136" s="38" t="s">
        <v>86</v>
      </c>
      <c r="F136" s="38" t="s">
        <v>43</v>
      </c>
      <c r="G136" s="38" t="s">
        <v>87</v>
      </c>
      <c r="H136" s="38" t="s">
        <v>778</v>
      </c>
      <c r="I136" s="38" t="s">
        <v>43</v>
      </c>
      <c r="J136" s="38" t="s">
        <v>93</v>
      </c>
      <c r="K136" s="38"/>
      <c r="L136" s="38" t="s">
        <v>43</v>
      </c>
      <c r="M136" s="38"/>
      <c r="N136" s="38"/>
      <c r="O136" s="38"/>
      <c r="P136" s="44" t="e">
        <f>VLOOKUP(A136,[2]clean!$A$2:$F$160,6,FALSE)</f>
        <v>#N/A</v>
      </c>
      <c r="Q136" s="38" t="s">
        <v>43</v>
      </c>
      <c r="R136" s="38" t="s">
        <v>43</v>
      </c>
      <c r="S136" s="38" t="s">
        <v>43</v>
      </c>
      <c r="T136" s="38" t="s">
        <v>41</v>
      </c>
      <c r="U136" s="38" t="s">
        <v>89</v>
      </c>
      <c r="V136" s="38" t="s">
        <v>43</v>
      </c>
    </row>
    <row r="137" spans="1:22" ht="56.25" x14ac:dyDescent="0.15">
      <c r="A137" s="38" t="s">
        <v>782</v>
      </c>
      <c r="B137" s="38" t="s">
        <v>84</v>
      </c>
      <c r="C137" s="34" t="s">
        <v>783</v>
      </c>
      <c r="D137" s="38" t="str">
        <f>VLOOKUP($A137,[1]Sheet1!$A$2:$G$249,2,FALSE)</f>
        <v>Americas</v>
      </c>
      <c r="E137" s="38" t="s">
        <v>86</v>
      </c>
      <c r="F137" s="38" t="s">
        <v>43</v>
      </c>
      <c r="G137" s="38" t="s">
        <v>87</v>
      </c>
      <c r="H137" s="38" t="s">
        <v>781</v>
      </c>
      <c r="I137" s="38" t="s">
        <v>43</v>
      </c>
      <c r="J137" s="38" t="s">
        <v>56</v>
      </c>
      <c r="K137" s="38"/>
      <c r="L137" s="38" t="s">
        <v>43</v>
      </c>
      <c r="M137" s="38"/>
      <c r="N137" s="38"/>
      <c r="O137" s="38"/>
      <c r="P137" s="44" t="e">
        <f>VLOOKUP(A137,[2]clean!$A$2:$F$160,6,FALSE)</f>
        <v>#N/A</v>
      </c>
      <c r="Q137" s="38" t="s">
        <v>43</v>
      </c>
      <c r="R137" s="38" t="s">
        <v>43</v>
      </c>
      <c r="S137" s="38" t="s">
        <v>43</v>
      </c>
      <c r="T137" s="38" t="s">
        <v>41</v>
      </c>
      <c r="U137" s="38" t="s">
        <v>89</v>
      </c>
      <c r="V137" s="38" t="s">
        <v>43</v>
      </c>
    </row>
    <row r="138" spans="1:22" ht="56.25" x14ac:dyDescent="0.15">
      <c r="A138" s="38" t="s">
        <v>785</v>
      </c>
      <c r="B138" s="38" t="s">
        <v>84</v>
      </c>
      <c r="C138" s="34" t="s">
        <v>786</v>
      </c>
      <c r="D138" s="38" t="str">
        <f>VLOOKUP($A138,[1]Sheet1!$A$2:$G$249,2,FALSE)</f>
        <v>Americas</v>
      </c>
      <c r="E138" s="38" t="s">
        <v>86</v>
      </c>
      <c r="F138" s="38" t="s">
        <v>43</v>
      </c>
      <c r="G138" s="38" t="s">
        <v>87</v>
      </c>
      <c r="H138" s="38" t="s">
        <v>784</v>
      </c>
      <c r="I138" s="38" t="s">
        <v>43</v>
      </c>
      <c r="J138" s="38" t="s">
        <v>56</v>
      </c>
      <c r="K138" s="38"/>
      <c r="L138" s="38" t="s">
        <v>43</v>
      </c>
      <c r="M138" s="38"/>
      <c r="N138" s="38"/>
      <c r="O138" s="38"/>
      <c r="P138" s="44" t="e">
        <f>VLOOKUP(A138,[2]clean!$A$2:$F$160,6,FALSE)</f>
        <v>#N/A</v>
      </c>
      <c r="Q138" s="38" t="s">
        <v>43</v>
      </c>
      <c r="R138" s="38" t="s">
        <v>43</v>
      </c>
      <c r="S138" s="38" t="s">
        <v>43</v>
      </c>
      <c r="T138" s="38" t="s">
        <v>41</v>
      </c>
      <c r="U138" s="38" t="s">
        <v>89</v>
      </c>
      <c r="V138" s="38" t="s">
        <v>43</v>
      </c>
    </row>
    <row r="139" spans="1:22" ht="22.5" x14ac:dyDescent="0.15">
      <c r="A139" s="38" t="s">
        <v>788</v>
      </c>
      <c r="B139" s="38" t="s">
        <v>64</v>
      </c>
      <c r="C139" s="34" t="s">
        <v>1060</v>
      </c>
      <c r="D139" s="38" t="str">
        <f>VLOOKUP($A139,[1]Sheet1!$A$2:$G$249,2,FALSE)</f>
        <v>Africa</v>
      </c>
      <c r="E139" s="38" t="s">
        <v>66</v>
      </c>
      <c r="F139" s="38" t="s">
        <v>41</v>
      </c>
      <c r="G139" s="38"/>
      <c r="H139" s="38" t="s">
        <v>1061</v>
      </c>
      <c r="I139" s="38" t="s">
        <v>43</v>
      </c>
      <c r="J139" s="38" t="s">
        <v>44</v>
      </c>
      <c r="K139" s="38" t="s">
        <v>45</v>
      </c>
      <c r="L139" s="38" t="s">
        <v>41</v>
      </c>
      <c r="M139" s="38" t="s">
        <v>41</v>
      </c>
      <c r="N139" s="38" t="s">
        <v>41</v>
      </c>
      <c r="O139" s="38"/>
      <c r="P139" s="44">
        <f>VLOOKUP(A139,[2]clean!$A$2:$F$160,6,FALSE)</f>
        <v>0.54298373850293702</v>
      </c>
      <c r="Q139" s="38" t="s">
        <v>41</v>
      </c>
      <c r="R139" s="38" t="s">
        <v>41</v>
      </c>
      <c r="S139" s="38" t="s">
        <v>43</v>
      </c>
      <c r="T139" s="38" t="s">
        <v>43</v>
      </c>
      <c r="U139" s="38"/>
      <c r="V139" s="38" t="s">
        <v>41</v>
      </c>
    </row>
    <row r="140" spans="1:22" ht="56.25" x14ac:dyDescent="0.15">
      <c r="A140" s="38" t="s">
        <v>794</v>
      </c>
      <c r="B140" s="38" t="s">
        <v>84</v>
      </c>
      <c r="C140" s="34" t="s">
        <v>795</v>
      </c>
      <c r="D140" s="38" t="str">
        <f>VLOOKUP($A140,[1]Sheet1!$A$2:$G$249,2,FALSE)</f>
        <v>Americas</v>
      </c>
      <c r="E140" s="38" t="s">
        <v>86</v>
      </c>
      <c r="F140" s="38" t="s">
        <v>43</v>
      </c>
      <c r="G140" s="38" t="s">
        <v>415</v>
      </c>
      <c r="H140" s="38" t="s">
        <v>793</v>
      </c>
      <c r="I140" s="38" t="s">
        <v>43</v>
      </c>
      <c r="J140" s="38" t="s">
        <v>56</v>
      </c>
      <c r="K140" s="38"/>
      <c r="L140" s="38" t="s">
        <v>43</v>
      </c>
      <c r="M140" s="38"/>
      <c r="N140" s="38"/>
      <c r="O140" s="38"/>
      <c r="P140" s="44" t="e">
        <f>VLOOKUP(A140,[2]clean!$A$2:$F$160,6,FALSE)</f>
        <v>#N/A</v>
      </c>
      <c r="Q140" s="38" t="s">
        <v>43</v>
      </c>
      <c r="R140" s="38" t="s">
        <v>43</v>
      </c>
      <c r="S140" s="38" t="s">
        <v>43</v>
      </c>
      <c r="T140" s="38" t="s">
        <v>41</v>
      </c>
      <c r="U140" s="38" t="s">
        <v>100</v>
      </c>
      <c r="V140" s="38" t="s">
        <v>43</v>
      </c>
    </row>
    <row r="141" spans="1:22" ht="22.5" x14ac:dyDescent="0.15">
      <c r="A141" s="38" t="s">
        <v>797</v>
      </c>
      <c r="B141" s="38" t="s">
        <v>64</v>
      </c>
      <c r="C141" s="34" t="s">
        <v>1062</v>
      </c>
      <c r="D141" s="38" t="str">
        <f>VLOOKUP($A141,[1]Sheet1!$A$2:$G$249,2,FALSE)</f>
        <v>Asia</v>
      </c>
      <c r="E141" s="38" t="s">
        <v>104</v>
      </c>
      <c r="F141" s="38" t="s">
        <v>41</v>
      </c>
      <c r="G141" s="38"/>
      <c r="H141" s="38" t="s">
        <v>796</v>
      </c>
      <c r="I141" s="38" t="s">
        <v>43</v>
      </c>
      <c r="J141" s="38" t="s">
        <v>44</v>
      </c>
      <c r="K141" s="38" t="s">
        <v>45</v>
      </c>
      <c r="L141" s="38" t="s">
        <v>41</v>
      </c>
      <c r="M141" s="38" t="s">
        <v>41</v>
      </c>
      <c r="N141" s="38" t="s">
        <v>41</v>
      </c>
      <c r="O141" s="38"/>
      <c r="P141" s="44">
        <f>VLOOKUP(A141,[2]clean!$A$2:$F$160,6,FALSE)</f>
        <v>0.61089601444465302</v>
      </c>
      <c r="Q141" s="38" t="s">
        <v>41</v>
      </c>
      <c r="R141" s="38" t="s">
        <v>43</v>
      </c>
      <c r="S141" s="38" t="s">
        <v>43</v>
      </c>
      <c r="T141" s="38" t="s">
        <v>43</v>
      </c>
      <c r="U141" s="38"/>
      <c r="V141" s="38" t="s">
        <v>41</v>
      </c>
    </row>
    <row r="142" spans="1:22" ht="33.75" x14ac:dyDescent="0.15">
      <c r="A142" s="38" t="s">
        <v>803</v>
      </c>
      <c r="B142" s="38" t="s">
        <v>53</v>
      </c>
      <c r="C142" s="34" t="s">
        <v>1063</v>
      </c>
      <c r="D142" s="38" t="str">
        <f>VLOOKUP($A142,[1]Sheet1!$A$2:$G$249,2,FALSE)</f>
        <v>Asia</v>
      </c>
      <c r="E142" s="38" t="s">
        <v>467</v>
      </c>
      <c r="F142" s="38" t="s">
        <v>41</v>
      </c>
      <c r="G142" s="38"/>
      <c r="H142" s="38" t="s">
        <v>1064</v>
      </c>
      <c r="I142" s="38" t="s">
        <v>43</v>
      </c>
      <c r="J142" s="38" t="s">
        <v>74</v>
      </c>
      <c r="K142" s="38"/>
      <c r="L142" s="38" t="s">
        <v>43</v>
      </c>
      <c r="M142" s="38"/>
      <c r="N142" s="38"/>
      <c r="O142" s="38"/>
      <c r="P142" s="44">
        <f>VLOOKUP(A142,[2]clean!$A$2:$F$160,6,FALSE)</f>
        <v>8.9625052968326499E-2</v>
      </c>
      <c r="Q142" s="38" t="s">
        <v>43</v>
      </c>
      <c r="R142" s="38" t="s">
        <v>43</v>
      </c>
      <c r="S142" s="38" t="s">
        <v>41</v>
      </c>
      <c r="T142" s="38" t="s">
        <v>43</v>
      </c>
      <c r="U142" s="38"/>
      <c r="V142" s="38" t="s">
        <v>43</v>
      </c>
    </row>
    <row r="143" spans="1:22" ht="56.25" customHeight="1" x14ac:dyDescent="0.15">
      <c r="A143" s="38" t="s">
        <v>808</v>
      </c>
      <c r="B143" s="38" t="s">
        <v>215</v>
      </c>
      <c r="C143" s="34" t="s">
        <v>1065</v>
      </c>
      <c r="D143" s="38" t="str">
        <f>VLOOKUP($A143,[1]Sheet1!$A$2:$G$249,2,FALSE)</f>
        <v>Asia</v>
      </c>
      <c r="E143" s="38" t="s">
        <v>216</v>
      </c>
      <c r="F143" s="38" t="s">
        <v>41</v>
      </c>
      <c r="G143" s="38"/>
      <c r="H143" s="38" t="s">
        <v>1066</v>
      </c>
      <c r="I143" s="38" t="s">
        <v>43</v>
      </c>
      <c r="J143" s="38" t="s">
        <v>56</v>
      </c>
      <c r="K143" s="38"/>
      <c r="L143" s="38" t="s">
        <v>43</v>
      </c>
      <c r="M143" s="38"/>
      <c r="N143" s="38"/>
      <c r="O143" s="38"/>
      <c r="P143" s="44">
        <f>VLOOKUP(A143,[2]clean!$A$2:$F$160,6,FALSE)</f>
        <v>4.9986023550352497E-2</v>
      </c>
      <c r="Q143" s="38" t="s">
        <v>43</v>
      </c>
      <c r="R143" s="38" t="s">
        <v>43</v>
      </c>
      <c r="S143" s="38" t="s">
        <v>43</v>
      </c>
      <c r="T143" s="38" t="s">
        <v>43</v>
      </c>
      <c r="U143" s="38"/>
      <c r="V143" s="38" t="s">
        <v>43</v>
      </c>
    </row>
    <row r="144" spans="1:22" ht="45" customHeight="1" x14ac:dyDescent="0.15">
      <c r="A144" s="38" t="s">
        <v>813</v>
      </c>
      <c r="B144" s="38" t="s">
        <v>215</v>
      </c>
      <c r="C144" s="34" t="s">
        <v>1067</v>
      </c>
      <c r="D144" s="38" t="str">
        <f>VLOOKUP($A144,[1]Sheet1!$A$2:$G$249,2,FALSE)</f>
        <v>Asia</v>
      </c>
      <c r="E144" s="38" t="s">
        <v>216</v>
      </c>
      <c r="F144" s="38" t="s">
        <v>41</v>
      </c>
      <c r="G144" s="38"/>
      <c r="H144" s="38" t="s">
        <v>1068</v>
      </c>
      <c r="I144" s="38" t="s">
        <v>43</v>
      </c>
      <c r="J144" s="38" t="s">
        <v>74</v>
      </c>
      <c r="K144" s="38" t="s">
        <v>203</v>
      </c>
      <c r="L144" s="38" t="s">
        <v>43</v>
      </c>
      <c r="M144" s="38"/>
      <c r="N144" s="38"/>
      <c r="O144" s="38"/>
      <c r="P144" s="44">
        <f>VLOOKUP(A144,[2]clean!$A$2:$F$160,6,FALSE)</f>
        <v>0.30618910284892298</v>
      </c>
      <c r="Q144" s="38" t="s">
        <v>43</v>
      </c>
      <c r="R144" s="38" t="s">
        <v>41</v>
      </c>
      <c r="S144" s="38" t="s">
        <v>43</v>
      </c>
      <c r="T144" s="38" t="s">
        <v>41</v>
      </c>
      <c r="U144" s="38"/>
      <c r="V144" s="38" t="s">
        <v>43</v>
      </c>
    </row>
    <row r="145" spans="1:22" ht="22.5" x14ac:dyDescent="0.15">
      <c r="A145" s="38" t="s">
        <v>819</v>
      </c>
      <c r="B145" s="38" t="s">
        <v>145</v>
      </c>
      <c r="C145" s="34" t="s">
        <v>1069</v>
      </c>
      <c r="D145" s="38" t="str">
        <f>VLOOKUP($A145,[1]Sheet1!$A$2:$G$249,2,FALSE)</f>
        <v>Africa</v>
      </c>
      <c r="E145" s="38" t="s">
        <v>73</v>
      </c>
      <c r="F145" s="38" t="s">
        <v>41</v>
      </c>
      <c r="G145" s="38"/>
      <c r="H145" s="38" t="s">
        <v>818</v>
      </c>
      <c r="I145" s="38" t="s">
        <v>43</v>
      </c>
      <c r="J145" s="38" t="s">
        <v>44</v>
      </c>
      <c r="K145" s="38"/>
      <c r="L145" s="38" t="s">
        <v>43</v>
      </c>
      <c r="M145" s="38"/>
      <c r="N145" s="38"/>
      <c r="O145" s="38" t="s">
        <v>41</v>
      </c>
      <c r="P145" s="44">
        <f>VLOOKUP(A145,[2]clean!$A$2:$F$160,6,FALSE)</f>
        <v>0.39812877531044999</v>
      </c>
      <c r="Q145" s="38" t="s">
        <v>41</v>
      </c>
      <c r="R145" s="38" t="s">
        <v>41</v>
      </c>
      <c r="S145" s="38" t="s">
        <v>43</v>
      </c>
      <c r="T145" s="38" t="s">
        <v>43</v>
      </c>
      <c r="U145" s="38" t="s">
        <v>150</v>
      </c>
      <c r="V145" s="38" t="s">
        <v>43</v>
      </c>
    </row>
    <row r="146" spans="1:22" ht="45" customHeight="1" x14ac:dyDescent="0.15">
      <c r="A146" s="38" t="s">
        <v>825</v>
      </c>
      <c r="B146" s="38" t="s">
        <v>215</v>
      </c>
      <c r="C146" s="34" t="s">
        <v>826</v>
      </c>
      <c r="D146" s="38" t="str">
        <f>VLOOKUP($A146,[1]Sheet1!$A$2:$G$249,2,FALSE)</f>
        <v>Oceania</v>
      </c>
      <c r="E146" s="38" t="s">
        <v>270</v>
      </c>
      <c r="F146" s="38" t="s">
        <v>43</v>
      </c>
      <c r="G146" s="38" t="s">
        <v>271</v>
      </c>
      <c r="H146" s="38" t="s">
        <v>824</v>
      </c>
      <c r="I146" s="38" t="s">
        <v>43</v>
      </c>
      <c r="J146" s="38" t="s">
        <v>88</v>
      </c>
      <c r="K146" s="38"/>
      <c r="L146" s="38" t="s">
        <v>43</v>
      </c>
      <c r="M146" s="38"/>
      <c r="N146" s="38"/>
      <c r="O146" s="38"/>
      <c r="P146" s="44" t="e">
        <f>VLOOKUP(A146,[2]clean!$A$2:$F$160,6,FALSE)</f>
        <v>#N/A</v>
      </c>
      <c r="Q146" s="38" t="s">
        <v>43</v>
      </c>
      <c r="R146" s="38" t="s">
        <v>43</v>
      </c>
      <c r="S146" s="38" t="s">
        <v>43</v>
      </c>
      <c r="T146" s="38" t="s">
        <v>43</v>
      </c>
      <c r="U146" s="38"/>
      <c r="V146" s="38" t="s">
        <v>43</v>
      </c>
    </row>
    <row r="147" spans="1:22" ht="45" customHeight="1" x14ac:dyDescent="0.15">
      <c r="A147" s="38" t="s">
        <v>828</v>
      </c>
      <c r="B147" s="38" t="s">
        <v>215</v>
      </c>
      <c r="C147" s="34" t="s">
        <v>829</v>
      </c>
      <c r="D147" s="38" t="str">
        <f>VLOOKUP($A147,[1]Sheet1!$A$2:$G$249,2,FALSE)</f>
        <v>Oceania</v>
      </c>
      <c r="E147" s="38" t="s">
        <v>270</v>
      </c>
      <c r="F147" s="38" t="s">
        <v>43</v>
      </c>
      <c r="G147" s="38" t="s">
        <v>271</v>
      </c>
      <c r="H147" s="38" t="s">
        <v>827</v>
      </c>
      <c r="I147" s="38" t="s">
        <v>43</v>
      </c>
      <c r="J147" s="38" t="s">
        <v>56</v>
      </c>
      <c r="K147" s="38"/>
      <c r="L147" s="38" t="s">
        <v>43</v>
      </c>
      <c r="M147" s="38"/>
      <c r="N147" s="38"/>
      <c r="O147" s="38"/>
      <c r="P147" s="44" t="e">
        <f>VLOOKUP(A147,[2]clean!$A$2:$F$160,6,FALSE)</f>
        <v>#N/A</v>
      </c>
      <c r="Q147" s="38" t="s">
        <v>43</v>
      </c>
      <c r="R147" s="38" t="s">
        <v>43</v>
      </c>
      <c r="S147" s="38" t="s">
        <v>43</v>
      </c>
      <c r="T147" s="38" t="s">
        <v>41</v>
      </c>
      <c r="U147" s="38"/>
      <c r="V147" s="38" t="s">
        <v>43</v>
      </c>
    </row>
    <row r="148" spans="1:22" ht="56.25" customHeight="1" x14ac:dyDescent="0.15">
      <c r="A148" s="38" t="s">
        <v>831</v>
      </c>
      <c r="B148" s="38" t="s">
        <v>84</v>
      </c>
      <c r="C148" s="34" t="s">
        <v>832</v>
      </c>
      <c r="D148" s="38" t="str">
        <f>VLOOKUP($A148,[1]Sheet1!$A$2:$G$249,2,FALSE)</f>
        <v>Americas</v>
      </c>
      <c r="E148" s="38" t="s">
        <v>86</v>
      </c>
      <c r="F148" s="38" t="s">
        <v>43</v>
      </c>
      <c r="G148" s="38" t="s">
        <v>87</v>
      </c>
      <c r="H148" s="38" t="s">
        <v>830</v>
      </c>
      <c r="I148" s="38" t="s">
        <v>43</v>
      </c>
      <c r="J148" s="38" t="s">
        <v>93</v>
      </c>
      <c r="K148" s="38"/>
      <c r="L148" s="38" t="s">
        <v>43</v>
      </c>
      <c r="M148" s="38"/>
      <c r="N148" s="38"/>
      <c r="O148" s="38" t="s">
        <v>41</v>
      </c>
      <c r="P148" s="44" t="e">
        <f>VLOOKUP(A148,[2]clean!$A$2:$F$160,6,FALSE)</f>
        <v>#N/A</v>
      </c>
      <c r="Q148" s="38" t="s">
        <v>43</v>
      </c>
      <c r="R148" s="38" t="s">
        <v>43</v>
      </c>
      <c r="S148" s="38" t="s">
        <v>43</v>
      </c>
      <c r="T148" s="38" t="s">
        <v>41</v>
      </c>
      <c r="U148" s="38" t="s">
        <v>89</v>
      </c>
      <c r="V148" s="38" t="s">
        <v>43</v>
      </c>
    </row>
    <row r="149" spans="1:22" ht="33.75" x14ac:dyDescent="0.15">
      <c r="A149" s="38" t="s">
        <v>834</v>
      </c>
      <c r="B149" s="38" t="s">
        <v>64</v>
      </c>
      <c r="C149" s="34" t="s">
        <v>1070</v>
      </c>
      <c r="D149" s="38" t="str">
        <f>VLOOKUP($A149,[1]Sheet1!$A$2:$G$249,2,FALSE)</f>
        <v>Africa</v>
      </c>
      <c r="E149" s="38" t="s">
        <v>66</v>
      </c>
      <c r="F149" s="38" t="s">
        <v>41</v>
      </c>
      <c r="G149" s="38"/>
      <c r="H149" s="38" t="s">
        <v>833</v>
      </c>
      <c r="I149" s="38" t="s">
        <v>43</v>
      </c>
      <c r="J149" s="38" t="s">
        <v>74</v>
      </c>
      <c r="K149" s="38"/>
      <c r="L149" s="38" t="s">
        <v>43</v>
      </c>
      <c r="M149" s="38"/>
      <c r="N149" s="38"/>
      <c r="O149" s="38"/>
      <c r="P149" s="44">
        <f>VLOOKUP(A149,[2]clean!$A$2:$F$160,6,FALSE)</f>
        <v>2.5062410653707699E-2</v>
      </c>
      <c r="Q149" s="38" t="s">
        <v>43</v>
      </c>
      <c r="R149" s="38" t="s">
        <v>43</v>
      </c>
      <c r="S149" s="38" t="s">
        <v>43</v>
      </c>
      <c r="T149" s="38" t="s">
        <v>43</v>
      </c>
      <c r="U149" s="38"/>
      <c r="V149" s="38" t="s">
        <v>43</v>
      </c>
    </row>
    <row r="150" spans="1:22" ht="35.25" x14ac:dyDescent="0.25">
      <c r="A150" t="s">
        <v>839</v>
      </c>
      <c r="B150" s="38" t="s">
        <v>53</v>
      </c>
      <c r="C150" s="34" t="s">
        <v>1071</v>
      </c>
      <c r="D150" s="38" t="e">
        <f>VLOOKUP($A150,[1]Sheet1!$A$2:$G$249,2,FALSE)</f>
        <v>#N/A</v>
      </c>
      <c r="E150" s="38" t="s">
        <v>104</v>
      </c>
      <c r="F150" s="38" t="s">
        <v>41</v>
      </c>
      <c r="G150" s="38"/>
      <c r="H150" s="38" t="s">
        <v>838</v>
      </c>
      <c r="I150" s="38" t="s">
        <v>43</v>
      </c>
      <c r="J150" s="38" t="s">
        <v>56</v>
      </c>
      <c r="K150" s="38"/>
      <c r="L150" s="38" t="s">
        <v>43</v>
      </c>
      <c r="M150" s="38" t="s">
        <v>41</v>
      </c>
      <c r="N150" s="38" t="s">
        <v>41</v>
      </c>
      <c r="O150" s="38" t="s">
        <v>41</v>
      </c>
      <c r="P150" s="44" t="e">
        <f>VLOOKUP(A150,[2]clean!$A$2:$F$160,6,FALSE)</f>
        <v>#N/A</v>
      </c>
      <c r="Q150" s="38" t="s">
        <v>43</v>
      </c>
      <c r="R150" s="38" t="s">
        <v>43</v>
      </c>
      <c r="S150" s="38" t="s">
        <v>43</v>
      </c>
      <c r="T150" s="38" t="s">
        <v>43</v>
      </c>
      <c r="U150" s="38"/>
      <c r="V150" s="38" t="s">
        <v>43</v>
      </c>
    </row>
    <row r="151" spans="1:22" ht="33.75" x14ac:dyDescent="0.15">
      <c r="A151" s="38" t="s">
        <v>845</v>
      </c>
      <c r="B151" s="38" t="s">
        <v>53</v>
      </c>
      <c r="C151" s="34" t="s">
        <v>1072</v>
      </c>
      <c r="D151" s="38" t="str">
        <f>VLOOKUP($A151,[1]Sheet1!$A$2:$G$249,2,FALSE)</f>
        <v>Asia</v>
      </c>
      <c r="E151" s="38" t="s">
        <v>467</v>
      </c>
      <c r="F151" s="38" t="s">
        <v>41</v>
      </c>
      <c r="G151" s="38"/>
      <c r="H151" s="38" t="s">
        <v>1073</v>
      </c>
      <c r="I151" s="38" t="s">
        <v>43</v>
      </c>
      <c r="J151" s="38" t="s">
        <v>56</v>
      </c>
      <c r="K151" s="38"/>
      <c r="L151" s="38" t="s">
        <v>43</v>
      </c>
      <c r="M151" s="38"/>
      <c r="N151" s="38"/>
      <c r="O151" s="38"/>
      <c r="P151" s="44">
        <f>VLOOKUP(A151,[2]clean!$A$2:$F$160,6,FALSE)</f>
        <v>5.1185669449734003E-2</v>
      </c>
      <c r="Q151" s="38" t="s">
        <v>43</v>
      </c>
      <c r="R151" s="38" t="s">
        <v>43</v>
      </c>
      <c r="S151" s="38" t="s">
        <v>41</v>
      </c>
      <c r="T151" s="38" t="s">
        <v>43</v>
      </c>
      <c r="U151" s="38"/>
      <c r="V151" s="38" t="s">
        <v>43</v>
      </c>
    </row>
    <row r="152" spans="1:22" ht="56.25" x14ac:dyDescent="0.15">
      <c r="A152" s="38" t="s">
        <v>849</v>
      </c>
      <c r="B152" s="38" t="s">
        <v>84</v>
      </c>
      <c r="C152" s="34" t="s">
        <v>850</v>
      </c>
      <c r="D152" s="38" t="str">
        <f>VLOOKUP($A152,[1]Sheet1!$A$2:$G$249,2,FALSE)</f>
        <v>Americas</v>
      </c>
      <c r="E152" s="38" t="s">
        <v>86</v>
      </c>
      <c r="F152" s="38" t="s">
        <v>43</v>
      </c>
      <c r="G152" s="38" t="s">
        <v>87</v>
      </c>
      <c r="H152" s="38" t="s">
        <v>848</v>
      </c>
      <c r="I152" s="38" t="s">
        <v>43</v>
      </c>
      <c r="J152" s="38" t="s">
        <v>93</v>
      </c>
      <c r="K152" s="38"/>
      <c r="L152" s="38" t="s">
        <v>43</v>
      </c>
      <c r="M152" s="38"/>
      <c r="N152" s="38"/>
      <c r="O152" s="38"/>
      <c r="P152" s="44" t="e">
        <f>VLOOKUP(A152,[2]clean!$A$2:$F$160,6,FALSE)</f>
        <v>#N/A</v>
      </c>
      <c r="Q152" s="38" t="s">
        <v>43</v>
      </c>
      <c r="R152" s="38" t="s">
        <v>43</v>
      </c>
      <c r="S152" s="38" t="s">
        <v>43</v>
      </c>
      <c r="T152" s="38" t="s">
        <v>43</v>
      </c>
      <c r="U152" s="38" t="s">
        <v>89</v>
      </c>
      <c r="V152" s="38" t="s">
        <v>43</v>
      </c>
    </row>
    <row r="153" spans="1:22" ht="56.25" x14ac:dyDescent="0.15">
      <c r="A153" s="38" t="s">
        <v>852</v>
      </c>
      <c r="B153" s="38" t="s">
        <v>215</v>
      </c>
      <c r="C153" s="34" t="s">
        <v>853</v>
      </c>
      <c r="D153" s="38" t="str">
        <f>VLOOKUP($A153,[1]Sheet1!$A$2:$G$249,2,FALSE)</f>
        <v>Oceania</v>
      </c>
      <c r="E153" s="38" t="s">
        <v>270</v>
      </c>
      <c r="F153" s="38" t="s">
        <v>43</v>
      </c>
      <c r="G153" s="38" t="s">
        <v>271</v>
      </c>
      <c r="H153" s="38" t="s">
        <v>851</v>
      </c>
      <c r="I153" s="38" t="s">
        <v>43</v>
      </c>
      <c r="J153" s="38" t="s">
        <v>56</v>
      </c>
      <c r="K153" s="38" t="s">
        <v>203</v>
      </c>
      <c r="L153" s="38" t="s">
        <v>43</v>
      </c>
      <c r="M153" s="38"/>
      <c r="N153" s="38"/>
      <c r="O153" s="38"/>
      <c r="P153" s="44" t="e">
        <f>VLOOKUP(A153,[2]clean!$A$2:$F$160,6,FALSE)</f>
        <v>#N/A</v>
      </c>
      <c r="Q153" s="38" t="s">
        <v>43</v>
      </c>
      <c r="R153" s="38" t="s">
        <v>41</v>
      </c>
      <c r="S153" s="38" t="s">
        <v>43</v>
      </c>
      <c r="T153" s="38" t="s">
        <v>41</v>
      </c>
      <c r="U153" s="38"/>
      <c r="V153" s="38" t="s">
        <v>43</v>
      </c>
    </row>
    <row r="154" spans="1:22" ht="56.25" x14ac:dyDescent="0.15">
      <c r="A154" s="38" t="s">
        <v>855</v>
      </c>
      <c r="B154" s="38" t="s">
        <v>64</v>
      </c>
      <c r="C154" s="34" t="s">
        <v>856</v>
      </c>
      <c r="D154" s="38" t="str">
        <f>VLOOKUP($A154,[1]Sheet1!$A$2:$G$249,2,FALSE)</f>
        <v>Asia</v>
      </c>
      <c r="E154" s="38" t="s">
        <v>104</v>
      </c>
      <c r="F154" s="38" t="s">
        <v>43</v>
      </c>
      <c r="G154" s="38" t="s">
        <v>117</v>
      </c>
      <c r="H154" s="38" t="s">
        <v>854</v>
      </c>
      <c r="I154" s="38" t="s">
        <v>43</v>
      </c>
      <c r="J154" s="38" t="s">
        <v>93</v>
      </c>
      <c r="K154" s="38"/>
      <c r="L154" s="38" t="s">
        <v>43</v>
      </c>
      <c r="M154" s="38"/>
      <c r="N154" s="38"/>
      <c r="O154" s="38"/>
      <c r="P154" s="44" t="e">
        <f>VLOOKUP(A154,[2]clean!$A$2:$F$160,6,FALSE)</f>
        <v>#N/A</v>
      </c>
      <c r="Q154" s="38" t="s">
        <v>43</v>
      </c>
      <c r="R154" s="38" t="s">
        <v>43</v>
      </c>
      <c r="S154" s="38" t="s">
        <v>43</v>
      </c>
      <c r="T154" s="38" t="s">
        <v>43</v>
      </c>
      <c r="U154" s="38"/>
      <c r="V154" s="38" t="s">
        <v>43</v>
      </c>
    </row>
    <row r="155" spans="1:22" ht="22.5" x14ac:dyDescent="0.15">
      <c r="A155" s="38" t="s">
        <v>858</v>
      </c>
      <c r="B155" s="38" t="s">
        <v>72</v>
      </c>
      <c r="C155" s="34" t="s">
        <v>1074</v>
      </c>
      <c r="D155" s="38" t="str">
        <f>VLOOKUP($A155,[1]Sheet1!$A$2:$G$249,2,FALSE)</f>
        <v>Africa</v>
      </c>
      <c r="E155" s="38" t="s">
        <v>73</v>
      </c>
      <c r="F155" s="38" t="s">
        <v>41</v>
      </c>
      <c r="G155" s="38"/>
      <c r="H155" s="38" t="s">
        <v>1075</v>
      </c>
      <c r="I155" s="38" t="s">
        <v>41</v>
      </c>
      <c r="J155" s="38" t="s">
        <v>44</v>
      </c>
      <c r="K155" s="38"/>
      <c r="L155" s="38" t="s">
        <v>43</v>
      </c>
      <c r="M155" s="38" t="s">
        <v>41</v>
      </c>
      <c r="N155" s="38" t="s">
        <v>41</v>
      </c>
      <c r="O155" s="38"/>
      <c r="P155" s="44">
        <f>VLOOKUP(A155,[2]clean!$A$2:$F$160,6,FALSE)</f>
        <v>0.170509880126543</v>
      </c>
      <c r="Q155" s="38" t="s">
        <v>41</v>
      </c>
      <c r="R155" s="38" t="s">
        <v>41</v>
      </c>
      <c r="S155" s="38" t="s">
        <v>41</v>
      </c>
      <c r="T155" s="38" t="s">
        <v>43</v>
      </c>
      <c r="U155" s="38" t="s">
        <v>208</v>
      </c>
      <c r="V155" s="38" t="s">
        <v>43</v>
      </c>
    </row>
    <row r="156" spans="1:22" ht="33.75" x14ac:dyDescent="0.15">
      <c r="A156" s="38" t="s">
        <v>864</v>
      </c>
      <c r="B156" s="38" t="s">
        <v>53</v>
      </c>
      <c r="C156" s="34" t="s">
        <v>1076</v>
      </c>
      <c r="D156" s="38" t="str">
        <f>VLOOKUP($A156,[1]Sheet1!$A$2:$G$249,2,FALSE)</f>
        <v>Europe</v>
      </c>
      <c r="E156" s="38" t="s">
        <v>132</v>
      </c>
      <c r="F156" s="38" t="s">
        <v>41</v>
      </c>
      <c r="G156" s="38"/>
      <c r="H156" s="38" t="s">
        <v>863</v>
      </c>
      <c r="I156" s="38" t="s">
        <v>41</v>
      </c>
      <c r="J156" s="38" t="s">
        <v>56</v>
      </c>
      <c r="K156" s="38" t="s">
        <v>45</v>
      </c>
      <c r="L156" s="38" t="s">
        <v>41</v>
      </c>
      <c r="M156" s="38" t="s">
        <v>41</v>
      </c>
      <c r="N156" s="38"/>
      <c r="O156" s="38" t="s">
        <v>41</v>
      </c>
      <c r="P156" s="44">
        <f>VLOOKUP(A156,[2]clean!$A$2:$F$160,6,FALSE)</f>
        <v>0.84924418583113204</v>
      </c>
      <c r="Q156" s="38" t="s">
        <v>43</v>
      </c>
      <c r="R156" s="38" t="s">
        <v>43</v>
      </c>
      <c r="S156" s="38" t="s">
        <v>43</v>
      </c>
      <c r="T156" s="38" t="s">
        <v>43</v>
      </c>
      <c r="U156" s="38"/>
      <c r="V156" s="38" t="s">
        <v>41</v>
      </c>
    </row>
    <row r="157" spans="1:22" ht="33.75" x14ac:dyDescent="0.15">
      <c r="A157" s="38" t="s">
        <v>869</v>
      </c>
      <c r="B157" s="38" t="s">
        <v>72</v>
      </c>
      <c r="C157" s="34" t="s">
        <v>1077</v>
      </c>
      <c r="D157" s="38" t="str">
        <f>VLOOKUP($A157,[1]Sheet1!$A$2:$G$249,2,FALSE)</f>
        <v>Africa</v>
      </c>
      <c r="E157" s="38" t="s">
        <v>73</v>
      </c>
      <c r="F157" s="38" t="s">
        <v>41</v>
      </c>
      <c r="G157" s="38"/>
      <c r="H157" s="38" t="s">
        <v>1078</v>
      </c>
      <c r="I157" s="38" t="s">
        <v>41</v>
      </c>
      <c r="J157" s="38" t="s">
        <v>74</v>
      </c>
      <c r="K157" s="38"/>
      <c r="L157" s="38" t="s">
        <v>43</v>
      </c>
      <c r="M157" s="38"/>
      <c r="N157" s="38"/>
      <c r="O157" s="38"/>
      <c r="P157" s="44">
        <f>VLOOKUP(A157,[2]clean!$A$2:$F$160,6,FALSE)</f>
        <v>4.4979743325396997E-2</v>
      </c>
      <c r="Q157" s="38" t="s">
        <v>41</v>
      </c>
      <c r="R157" s="38" t="s">
        <v>41</v>
      </c>
      <c r="S157" s="38" t="s">
        <v>43</v>
      </c>
      <c r="T157" s="38" t="s">
        <v>43</v>
      </c>
      <c r="U157" s="38" t="s">
        <v>208</v>
      </c>
      <c r="V157" s="38" t="s">
        <v>43</v>
      </c>
    </row>
    <row r="158" spans="1:22" ht="33.75" x14ac:dyDescent="0.15">
      <c r="A158" s="38" t="s">
        <v>874</v>
      </c>
      <c r="B158" s="38" t="s">
        <v>84</v>
      </c>
      <c r="C158" s="34" t="s">
        <v>1079</v>
      </c>
      <c r="D158" s="38" t="str">
        <f>VLOOKUP($A158,[1]Sheet1!$A$2:$G$249,2,FALSE)</f>
        <v>Americas</v>
      </c>
      <c r="E158" s="38" t="s">
        <v>86</v>
      </c>
      <c r="F158" s="38" t="s">
        <v>41</v>
      </c>
      <c r="G158" s="38"/>
      <c r="H158" s="38" t="s">
        <v>1080</v>
      </c>
      <c r="I158" s="38" t="s">
        <v>43</v>
      </c>
      <c r="J158" s="38" t="s">
        <v>93</v>
      </c>
      <c r="K158" s="38"/>
      <c r="L158" s="38" t="s">
        <v>43</v>
      </c>
      <c r="M158" s="38"/>
      <c r="N158" s="38"/>
      <c r="O158" s="38" t="s">
        <v>41</v>
      </c>
      <c r="P158" s="44">
        <f>VLOOKUP(A158,[2]clean!$A$2:$F$160,6,FALSE)</f>
        <v>0</v>
      </c>
      <c r="Q158" s="38" t="s">
        <v>43</v>
      </c>
      <c r="R158" s="38" t="s">
        <v>43</v>
      </c>
      <c r="S158" s="38" t="s">
        <v>43</v>
      </c>
      <c r="T158" s="38" t="s">
        <v>43</v>
      </c>
      <c r="U158" s="38" t="s">
        <v>100</v>
      </c>
      <c r="V158" s="38" t="s">
        <v>43</v>
      </c>
    </row>
    <row r="159" spans="1:22" ht="56.25" x14ac:dyDescent="0.15">
      <c r="A159" s="38" t="s">
        <v>878</v>
      </c>
      <c r="B159" s="38" t="s">
        <v>215</v>
      </c>
      <c r="C159" s="34" t="s">
        <v>1081</v>
      </c>
      <c r="D159" s="38" t="str">
        <f>VLOOKUP($A159,[1]Sheet1!$A$2:$G$249,2,FALSE)</f>
        <v>Oceania</v>
      </c>
      <c r="E159" s="38" t="s">
        <v>362</v>
      </c>
      <c r="F159" s="38" t="s">
        <v>43</v>
      </c>
      <c r="G159" s="38" t="s">
        <v>271</v>
      </c>
      <c r="H159" s="38" t="s">
        <v>877</v>
      </c>
      <c r="I159" s="38" t="s">
        <v>43</v>
      </c>
      <c r="J159" s="38" t="s">
        <v>74</v>
      </c>
      <c r="K159" s="38"/>
      <c r="L159" s="38" t="s">
        <v>43</v>
      </c>
      <c r="M159" s="38"/>
      <c r="N159" s="38"/>
      <c r="O159" s="38"/>
      <c r="P159" s="44" t="e">
        <f>VLOOKUP(A159,[2]clean!$A$2:$F$160,6,FALSE)</f>
        <v>#N/A</v>
      </c>
      <c r="Q159" s="38" t="s">
        <v>43</v>
      </c>
      <c r="R159" s="38" t="s">
        <v>43</v>
      </c>
      <c r="S159" s="38" t="s">
        <v>43</v>
      </c>
      <c r="T159" s="38" t="s">
        <v>41</v>
      </c>
      <c r="U159" s="38"/>
      <c r="V159" s="38" t="s">
        <v>43</v>
      </c>
    </row>
    <row r="160" spans="1:22" ht="45" customHeight="1" x14ac:dyDescent="0.15">
      <c r="A160" s="38" t="s">
        <v>880</v>
      </c>
      <c r="B160" s="38" t="s">
        <v>84</v>
      </c>
      <c r="C160" s="34" t="s">
        <v>1082</v>
      </c>
      <c r="D160" s="38" t="str">
        <f>VLOOKUP($A160,[1]Sheet1!$A$2:$G$249,2,FALSE)</f>
        <v>Americas</v>
      </c>
      <c r="E160" s="38" t="s">
        <v>86</v>
      </c>
      <c r="F160" s="38" t="s">
        <v>41</v>
      </c>
      <c r="G160" s="38"/>
      <c r="H160" s="38" t="s">
        <v>1083</v>
      </c>
      <c r="I160" s="38" t="s">
        <v>43</v>
      </c>
      <c r="J160" s="38" t="s">
        <v>88</v>
      </c>
      <c r="K160" s="38" t="s">
        <v>203</v>
      </c>
      <c r="L160" s="38" t="s">
        <v>41</v>
      </c>
      <c r="M160" s="38" t="s">
        <v>41</v>
      </c>
      <c r="N160" s="38" t="s">
        <v>41</v>
      </c>
      <c r="O160" s="38"/>
      <c r="P160" s="44">
        <f>VLOOKUP(A160,[2]clean!$A$2:$F$160,6,FALSE)</f>
        <v>0.92868078882239702</v>
      </c>
      <c r="Q160" s="38" t="s">
        <v>41</v>
      </c>
      <c r="R160" s="38" t="s">
        <v>43</v>
      </c>
      <c r="S160" s="38" t="s">
        <v>43</v>
      </c>
      <c r="T160" s="38" t="s">
        <v>43</v>
      </c>
      <c r="U160" s="38" t="s">
        <v>100</v>
      </c>
      <c r="V160" s="38" t="s">
        <v>41</v>
      </c>
    </row>
    <row r="161" spans="1:22" ht="33.75" x14ac:dyDescent="0.15">
      <c r="A161" s="38" t="s">
        <v>886</v>
      </c>
      <c r="B161" s="38" t="s">
        <v>215</v>
      </c>
      <c r="C161" s="34" t="s">
        <v>1084</v>
      </c>
      <c r="D161" s="38" t="str">
        <f>VLOOKUP($A161,[1]Sheet1!$A$2:$G$249,2,FALSE)</f>
        <v>Asia</v>
      </c>
      <c r="E161" s="38" t="s">
        <v>216</v>
      </c>
      <c r="F161" s="38" t="s">
        <v>41</v>
      </c>
      <c r="G161" s="38"/>
      <c r="H161" s="38" t="s">
        <v>1085</v>
      </c>
      <c r="I161" s="38" t="s">
        <v>43</v>
      </c>
      <c r="J161" s="38" t="s">
        <v>74</v>
      </c>
      <c r="K161" s="38"/>
      <c r="L161" s="38" t="s">
        <v>43</v>
      </c>
      <c r="M161" s="38"/>
      <c r="N161" s="38"/>
      <c r="O161" s="38"/>
      <c r="P161" s="44">
        <f>VLOOKUP(A161,[2]clean!$A$2:$F$160,6,FALSE)</f>
        <v>0.30506115909574399</v>
      </c>
      <c r="Q161" s="38" t="s">
        <v>43</v>
      </c>
      <c r="R161" s="38" t="s">
        <v>43</v>
      </c>
      <c r="S161" s="38" t="s">
        <v>43</v>
      </c>
      <c r="T161" s="38" t="s">
        <v>43</v>
      </c>
      <c r="U161" s="38"/>
      <c r="V161" s="38" t="s">
        <v>43</v>
      </c>
    </row>
    <row r="162" spans="1:22" ht="22.5" x14ac:dyDescent="0.15">
      <c r="A162" s="38" t="s">
        <v>892</v>
      </c>
      <c r="B162" s="38" t="s">
        <v>64</v>
      </c>
      <c r="C162" s="34" t="s">
        <v>1086</v>
      </c>
      <c r="D162" s="38" t="str">
        <f>VLOOKUP($A162,[1]Sheet1!$A$2:$G$249,2,FALSE)</f>
        <v>Asia</v>
      </c>
      <c r="E162" s="38" t="s">
        <v>104</v>
      </c>
      <c r="F162" s="38" t="s">
        <v>41</v>
      </c>
      <c r="G162" s="38"/>
      <c r="H162" s="38" t="s">
        <v>891</v>
      </c>
      <c r="I162" s="38" t="s">
        <v>43</v>
      </c>
      <c r="J162" s="38" t="s">
        <v>44</v>
      </c>
      <c r="K162" s="38" t="s">
        <v>45</v>
      </c>
      <c r="L162" s="38" t="s">
        <v>41</v>
      </c>
      <c r="M162" s="38" t="s">
        <v>41</v>
      </c>
      <c r="N162" s="38" t="s">
        <v>41</v>
      </c>
      <c r="O162" s="38"/>
      <c r="P162" s="44">
        <f>VLOOKUP(A162,[2]clean!$A$2:$F$160,6,FALSE)</f>
        <v>0.322169450282562</v>
      </c>
      <c r="Q162" s="38" t="s">
        <v>41</v>
      </c>
      <c r="R162" s="38" t="s">
        <v>41</v>
      </c>
      <c r="S162" s="38" t="s">
        <v>43</v>
      </c>
      <c r="T162" s="38" t="s">
        <v>43</v>
      </c>
      <c r="U162" s="38"/>
      <c r="V162" s="38" t="s">
        <v>41</v>
      </c>
    </row>
    <row r="163" spans="1:22" ht="33.75" x14ac:dyDescent="0.15">
      <c r="A163" s="38" t="s">
        <v>898</v>
      </c>
      <c r="B163" s="38" t="s">
        <v>72</v>
      </c>
      <c r="C163" s="34" t="s">
        <v>1087</v>
      </c>
      <c r="D163" s="38" t="str">
        <f>VLOOKUP($A163,[1]Sheet1!$A$2:$G$249,2,FALSE)</f>
        <v>Africa</v>
      </c>
      <c r="E163" s="38" t="s">
        <v>73</v>
      </c>
      <c r="F163" s="38" t="s">
        <v>41</v>
      </c>
      <c r="G163" s="38"/>
      <c r="H163" s="38" t="s">
        <v>1088</v>
      </c>
      <c r="I163" s="38" t="s">
        <v>41</v>
      </c>
      <c r="J163" s="38" t="s">
        <v>74</v>
      </c>
      <c r="K163" s="38"/>
      <c r="L163" s="38" t="s">
        <v>43</v>
      </c>
      <c r="M163" s="38"/>
      <c r="N163" s="38"/>
      <c r="O163" s="38"/>
      <c r="P163" s="44">
        <f>VLOOKUP(A163,[2]clean!$A$2:$F$160,6,FALSE)</f>
        <v>9.4870340018381502E-2</v>
      </c>
      <c r="Q163" s="38" t="s">
        <v>41</v>
      </c>
      <c r="R163" s="38" t="s">
        <v>41</v>
      </c>
      <c r="S163" s="38" t="s">
        <v>41</v>
      </c>
      <c r="T163" s="38" t="s">
        <v>43</v>
      </c>
      <c r="U163" s="38" t="s">
        <v>208</v>
      </c>
      <c r="V163" s="38" t="s">
        <v>43</v>
      </c>
    </row>
    <row r="164" spans="1:22" ht="45" x14ac:dyDescent="0.15">
      <c r="A164" s="38" t="s">
        <v>904</v>
      </c>
      <c r="B164" s="38" t="s">
        <v>72</v>
      </c>
      <c r="C164" s="34" t="s">
        <v>1089</v>
      </c>
      <c r="D164" s="38" t="str">
        <f>VLOOKUP($A164,[1]Sheet1!$A$2:$G$249,2,FALSE)</f>
        <v>Africa</v>
      </c>
      <c r="E164" s="38" t="s">
        <v>73</v>
      </c>
      <c r="F164" s="38" t="s">
        <v>41</v>
      </c>
      <c r="G164" s="38"/>
      <c r="H164" s="38" t="s">
        <v>1090</v>
      </c>
      <c r="I164" s="38" t="s">
        <v>41</v>
      </c>
      <c r="J164" s="38" t="s">
        <v>74</v>
      </c>
      <c r="K164" s="38" t="s">
        <v>203</v>
      </c>
      <c r="L164" s="38" t="s">
        <v>43</v>
      </c>
      <c r="M164" s="38" t="s">
        <v>41</v>
      </c>
      <c r="N164" s="38" t="s">
        <v>41</v>
      </c>
      <c r="O164" s="38"/>
      <c r="P164" s="44">
        <f>VLOOKUP(A164,[2]clean!$A$2:$F$160,6,FALSE)</f>
        <v>0.120671942293122</v>
      </c>
      <c r="Q164" s="38" t="s">
        <v>41</v>
      </c>
      <c r="R164" s="38" t="s">
        <v>43</v>
      </c>
      <c r="S164" s="38" t="s">
        <v>41</v>
      </c>
      <c r="T164" s="38" t="s">
        <v>43</v>
      </c>
      <c r="U164" s="38" t="s">
        <v>208</v>
      </c>
      <c r="V164" s="38" t="s">
        <v>43</v>
      </c>
    </row>
  </sheetData>
  <autoFilter ref="A1:V164" xr:uid="{7BD39B08-C3BA-4D08-A493-BA773E69A1D6}"/>
  <conditionalFormatting sqref="A1:A1048576">
    <cfRule type="duplicateValues" dxfId="6" priority="1"/>
  </conditionalFormatting>
  <conditionalFormatting sqref="P2:P1048576">
    <cfRule type="cellIs" dxfId="5" priority="2" operator="greater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3B47-B1E6-4009-8AB3-FAC075AFAC69}">
  <dimension ref="A1:N15"/>
  <sheetViews>
    <sheetView zoomScale="80" zoomScaleNormal="80" workbookViewId="0">
      <selection activeCell="G6" sqref="G6"/>
    </sheetView>
  </sheetViews>
  <sheetFormatPr defaultRowHeight="15" x14ac:dyDescent="0.25"/>
  <cols>
    <col min="1" max="1" width="30.5703125" customWidth="1"/>
    <col min="2" max="2" width="6.5703125" customWidth="1"/>
    <col min="3" max="3" width="3.42578125" customWidth="1"/>
    <col min="4" max="4" width="30.5703125" customWidth="1"/>
    <col min="5" max="5" width="6.5703125" customWidth="1"/>
    <col min="6" max="6" width="3.42578125" customWidth="1"/>
    <col min="7" max="7" width="30.5703125" customWidth="1"/>
    <col min="8" max="8" width="6.5703125" customWidth="1"/>
    <col min="9" max="9" width="4" customWidth="1"/>
    <col min="10" max="10" width="30.5703125" customWidth="1"/>
    <col min="11" max="11" width="6.5703125" customWidth="1"/>
    <col min="12" max="12" width="2.28515625" customWidth="1"/>
    <col min="13" max="13" width="30.5703125" customWidth="1"/>
    <col min="14" max="14" width="6.5703125" customWidth="1"/>
  </cols>
  <sheetData>
    <row r="1" spans="1:14" s="45" customFormat="1" ht="87.75" customHeight="1" x14ac:dyDescent="0.3">
      <c r="A1" s="102" t="s">
        <v>1091</v>
      </c>
      <c r="B1" s="102"/>
      <c r="D1" s="103" t="s">
        <v>1092</v>
      </c>
      <c r="E1" s="103"/>
      <c r="G1" s="104" t="s">
        <v>1093</v>
      </c>
      <c r="H1" s="104"/>
      <c r="J1" s="105" t="s">
        <v>1094</v>
      </c>
      <c r="K1" s="105"/>
      <c r="M1" s="106" t="s">
        <v>1095</v>
      </c>
      <c r="N1" s="106"/>
    </row>
    <row r="2" spans="1:14" s="46" customFormat="1" x14ac:dyDescent="0.25">
      <c r="A2" s="46" t="s">
        <v>1096</v>
      </c>
      <c r="D2" s="46" t="s">
        <v>1096</v>
      </c>
      <c r="G2" s="46" t="s">
        <v>1096</v>
      </c>
      <c r="J2" s="46" t="s">
        <v>1096</v>
      </c>
      <c r="M2" s="46" t="s">
        <v>1096</v>
      </c>
    </row>
    <row r="3" spans="1:14" x14ac:dyDescent="0.25">
      <c r="A3" s="47" t="s">
        <v>10</v>
      </c>
      <c r="B3" t="s">
        <v>41</v>
      </c>
      <c r="D3" s="47" t="s">
        <v>10</v>
      </c>
      <c r="E3" t="s">
        <v>1097</v>
      </c>
      <c r="G3" s="47" t="s">
        <v>18</v>
      </c>
      <c r="H3" t="s">
        <v>41</v>
      </c>
      <c r="J3" s="47" t="s">
        <v>20</v>
      </c>
      <c r="K3" t="s">
        <v>41</v>
      </c>
      <c r="M3" s="47" t="s">
        <v>21</v>
      </c>
      <c r="N3" t="s">
        <v>41</v>
      </c>
    </row>
    <row r="5" spans="1:14" x14ac:dyDescent="0.25">
      <c r="A5" s="47" t="s">
        <v>1098</v>
      </c>
      <c r="B5" t="s">
        <v>1099</v>
      </c>
      <c r="D5" s="47" t="s">
        <v>1098</v>
      </c>
      <c r="E5" t="s">
        <v>1099</v>
      </c>
      <c r="G5" s="47" t="s">
        <v>1098</v>
      </c>
      <c r="H5" t="s">
        <v>1099</v>
      </c>
      <c r="J5" s="47" t="s">
        <v>1098</v>
      </c>
      <c r="K5" t="s">
        <v>1099</v>
      </c>
      <c r="M5" s="47" t="s">
        <v>1098</v>
      </c>
      <c r="N5" t="s">
        <v>1099</v>
      </c>
    </row>
    <row r="6" spans="1:14" x14ac:dyDescent="0.25">
      <c r="A6" s="42" t="s">
        <v>215</v>
      </c>
      <c r="B6">
        <v>14</v>
      </c>
      <c r="D6" s="42" t="s">
        <v>215</v>
      </c>
      <c r="E6">
        <v>28</v>
      </c>
      <c r="G6" s="42" t="s">
        <v>215</v>
      </c>
      <c r="H6">
        <v>1</v>
      </c>
      <c r="J6" s="42" t="s">
        <v>53</v>
      </c>
      <c r="K6">
        <v>1</v>
      </c>
      <c r="M6" s="42" t="s">
        <v>215</v>
      </c>
      <c r="N6">
        <v>4</v>
      </c>
    </row>
    <row r="7" spans="1:14" x14ac:dyDescent="0.25">
      <c r="A7" s="42" t="s">
        <v>53</v>
      </c>
      <c r="B7">
        <v>22</v>
      </c>
      <c r="D7" s="42" t="s">
        <v>53</v>
      </c>
      <c r="E7">
        <v>22</v>
      </c>
      <c r="G7" s="42" t="s">
        <v>53</v>
      </c>
      <c r="H7">
        <v>6</v>
      </c>
      <c r="J7" s="42" t="s">
        <v>72</v>
      </c>
      <c r="K7">
        <v>5</v>
      </c>
      <c r="M7" s="42" t="s">
        <v>72</v>
      </c>
      <c r="N7">
        <v>14</v>
      </c>
    </row>
    <row r="8" spans="1:14" x14ac:dyDescent="0.25">
      <c r="A8" s="42" t="s">
        <v>72</v>
      </c>
      <c r="B8">
        <v>21</v>
      </c>
      <c r="D8" s="42" t="s">
        <v>72</v>
      </c>
      <c r="E8">
        <v>21</v>
      </c>
      <c r="G8" s="42" t="s">
        <v>72</v>
      </c>
      <c r="H8">
        <v>9</v>
      </c>
      <c r="J8" s="42" t="s">
        <v>84</v>
      </c>
      <c r="K8">
        <v>2</v>
      </c>
      <c r="M8" s="42" t="s">
        <v>84</v>
      </c>
      <c r="N8">
        <v>2</v>
      </c>
    </row>
    <row r="9" spans="1:14" x14ac:dyDescent="0.25">
      <c r="A9" s="42" t="s">
        <v>84</v>
      </c>
      <c r="B9">
        <v>24</v>
      </c>
      <c r="D9" s="42" t="s">
        <v>84</v>
      </c>
      <c r="E9">
        <v>38</v>
      </c>
      <c r="G9" s="42" t="s">
        <v>84</v>
      </c>
      <c r="H9">
        <v>8</v>
      </c>
      <c r="J9" s="42" t="s">
        <v>64</v>
      </c>
      <c r="K9">
        <v>7</v>
      </c>
      <c r="M9" s="42" t="s">
        <v>64</v>
      </c>
      <c r="N9">
        <v>4</v>
      </c>
    </row>
    <row r="10" spans="1:14" x14ac:dyDescent="0.25">
      <c r="A10" s="42" t="s">
        <v>64</v>
      </c>
      <c r="B10">
        <v>16</v>
      </c>
      <c r="D10" s="42" t="s">
        <v>64</v>
      </c>
      <c r="E10">
        <v>21</v>
      </c>
      <c r="G10" s="42" t="s">
        <v>64</v>
      </c>
      <c r="H10">
        <v>5</v>
      </c>
      <c r="J10" s="42" t="s">
        <v>38</v>
      </c>
      <c r="K10">
        <v>1</v>
      </c>
      <c r="M10" s="42" t="s">
        <v>38</v>
      </c>
      <c r="N10">
        <v>5</v>
      </c>
    </row>
    <row r="11" spans="1:14" x14ac:dyDescent="0.25">
      <c r="A11" s="42" t="s">
        <v>38</v>
      </c>
      <c r="B11">
        <v>8</v>
      </c>
      <c r="D11" s="42" t="s">
        <v>38</v>
      </c>
      <c r="E11">
        <v>8</v>
      </c>
      <c r="G11" s="42" t="s">
        <v>38</v>
      </c>
      <c r="H11">
        <v>3</v>
      </c>
      <c r="J11" s="42" t="s">
        <v>145</v>
      </c>
      <c r="K11">
        <v>5</v>
      </c>
      <c r="M11" s="42" t="s">
        <v>145</v>
      </c>
      <c r="N11">
        <v>17</v>
      </c>
    </row>
    <row r="12" spans="1:14" x14ac:dyDescent="0.25">
      <c r="A12" s="42" t="s">
        <v>145</v>
      </c>
      <c r="B12">
        <v>24</v>
      </c>
      <c r="D12" s="42" t="s">
        <v>145</v>
      </c>
      <c r="E12">
        <v>24</v>
      </c>
      <c r="G12" s="42" t="s">
        <v>145</v>
      </c>
      <c r="H12">
        <v>8</v>
      </c>
      <c r="J12" s="42" t="s">
        <v>33</v>
      </c>
      <c r="K12">
        <v>21</v>
      </c>
      <c r="M12" s="42" t="s">
        <v>33</v>
      </c>
      <c r="N12">
        <v>46</v>
      </c>
    </row>
    <row r="13" spans="1:14" x14ac:dyDescent="0.25">
      <c r="A13" s="42" t="s">
        <v>33</v>
      </c>
      <c r="B13">
        <v>129</v>
      </c>
      <c r="D13" s="42" t="s">
        <v>1100</v>
      </c>
      <c r="E13">
        <v>1</v>
      </c>
      <c r="G13" s="42" t="s">
        <v>33</v>
      </c>
      <c r="H13">
        <v>40</v>
      </c>
    </row>
    <row r="14" spans="1:14" x14ac:dyDescent="0.25">
      <c r="D14" s="51" t="s">
        <v>676</v>
      </c>
      <c r="E14">
        <v>1</v>
      </c>
    </row>
    <row r="15" spans="1:14" x14ac:dyDescent="0.25">
      <c r="D15" s="42" t="s">
        <v>33</v>
      </c>
      <c r="E15">
        <v>163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9B08-C3BA-4D08-A493-BA773E69A1D6}">
  <dimension ref="A1:R163"/>
  <sheetViews>
    <sheetView workbookViewId="0">
      <pane ySplit="1" topLeftCell="A2" activePane="bottomLeft" state="frozen"/>
      <selection pane="bottomLeft"/>
    </sheetView>
  </sheetViews>
  <sheetFormatPr defaultColWidth="9.140625" defaultRowHeight="11.25" x14ac:dyDescent="0.15"/>
  <cols>
    <col min="1" max="3" width="9.140625" style="36"/>
    <col min="4" max="4" width="12" style="36" customWidth="1"/>
    <col min="5" max="5" width="13.140625" style="36" customWidth="1"/>
    <col min="6" max="6" width="13.5703125" style="36" customWidth="1"/>
    <col min="7" max="7" width="10.7109375" style="36" customWidth="1"/>
    <col min="8" max="8" width="13.85546875" style="36" customWidth="1"/>
    <col min="9" max="10" width="12.85546875" style="36" customWidth="1"/>
    <col min="11" max="18" width="10.7109375" style="36" customWidth="1"/>
    <col min="19" max="16384" width="9.140625" style="36"/>
  </cols>
  <sheetData>
    <row r="1" spans="1:18" s="37" customFormat="1" ht="73.5" x14ac:dyDescent="0.25">
      <c r="A1" s="11" t="s">
        <v>23</v>
      </c>
      <c r="B1" s="11" t="s">
        <v>25</v>
      </c>
      <c r="C1" s="11" t="s">
        <v>24</v>
      </c>
      <c r="D1" s="40" t="s">
        <v>1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11" t="s">
        <v>10</v>
      </c>
      <c r="L1" s="11" t="s">
        <v>11</v>
      </c>
      <c r="M1" s="11" t="s">
        <v>12</v>
      </c>
      <c r="N1" s="11" t="s">
        <v>14</v>
      </c>
      <c r="O1" s="11" t="s">
        <v>16</v>
      </c>
      <c r="P1" s="11" t="s">
        <v>18</v>
      </c>
      <c r="Q1" s="11" t="s">
        <v>20</v>
      </c>
      <c r="R1" s="11" t="s">
        <v>21</v>
      </c>
    </row>
    <row r="2" spans="1:18" ht="33.75" x14ac:dyDescent="0.15">
      <c r="A2" s="38" t="s">
        <v>51</v>
      </c>
      <c r="B2" s="38" t="s">
        <v>53</v>
      </c>
      <c r="C2" s="34" t="s">
        <v>52</v>
      </c>
      <c r="D2" s="38" t="str">
        <f>VLOOKUP($A2,[1]Sheet1!$A$2:$G$249,2,FALSE)</f>
        <v>Europe</v>
      </c>
      <c r="E2" s="38" t="s">
        <v>55</v>
      </c>
      <c r="F2" s="38"/>
      <c r="G2" s="38" t="s">
        <v>43</v>
      </c>
      <c r="H2" s="38" t="s">
        <v>43</v>
      </c>
      <c r="I2" s="38" t="s">
        <v>43</v>
      </c>
      <c r="J2" s="38" t="s">
        <v>43</v>
      </c>
      <c r="K2" s="38" t="s">
        <v>41</v>
      </c>
      <c r="L2" s="38" t="s">
        <v>50</v>
      </c>
      <c r="M2" s="38" t="s">
        <v>43</v>
      </c>
      <c r="N2" s="38" t="s">
        <v>56</v>
      </c>
      <c r="O2" s="38"/>
      <c r="P2" s="38" t="s">
        <v>43</v>
      </c>
      <c r="Q2" s="38" t="s">
        <v>43</v>
      </c>
      <c r="R2" s="38" t="s">
        <v>43</v>
      </c>
    </row>
    <row r="3" spans="1:18" ht="33.75" x14ac:dyDescent="0.15">
      <c r="A3" s="38" t="s">
        <v>62</v>
      </c>
      <c r="B3" s="38" t="s">
        <v>64</v>
      </c>
      <c r="C3" s="34" t="s">
        <v>63</v>
      </c>
      <c r="D3" s="38" t="str">
        <f>VLOOKUP($A3,[1]Sheet1!$A$2:$G$249,2,FALSE)</f>
        <v>Africa</v>
      </c>
      <c r="E3" s="38" t="s">
        <v>66</v>
      </c>
      <c r="F3" s="38"/>
      <c r="G3" s="38" t="s">
        <v>43</v>
      </c>
      <c r="H3" s="38" t="s">
        <v>43</v>
      </c>
      <c r="I3" s="38" t="s">
        <v>43</v>
      </c>
      <c r="J3" s="38" t="s">
        <v>43</v>
      </c>
      <c r="K3" s="38" t="s">
        <v>41</v>
      </c>
      <c r="L3" s="38" t="s">
        <v>910</v>
      </c>
      <c r="M3" s="38" t="s">
        <v>43</v>
      </c>
      <c r="N3" s="38" t="s">
        <v>74</v>
      </c>
      <c r="O3" s="38"/>
      <c r="P3" s="38" t="s">
        <v>43</v>
      </c>
      <c r="Q3" s="38" t="s">
        <v>43</v>
      </c>
      <c r="R3" s="38" t="s">
        <v>41</v>
      </c>
    </row>
    <row r="4" spans="1:18" ht="33.75" x14ac:dyDescent="0.15">
      <c r="A4" s="38" t="s">
        <v>81</v>
      </c>
      <c r="B4" s="38" t="s">
        <v>84</v>
      </c>
      <c r="C4" s="34" t="s">
        <v>83</v>
      </c>
      <c r="D4" s="38" t="str">
        <f>VLOOKUP($A4,[1]Sheet1!$A$2:$G$249,2,FALSE)</f>
        <v>Americas</v>
      </c>
      <c r="E4" s="38" t="s">
        <v>86</v>
      </c>
      <c r="F4" s="38" t="s">
        <v>89</v>
      </c>
      <c r="G4" s="38" t="s">
        <v>43</v>
      </c>
      <c r="H4" s="38" t="s">
        <v>43</v>
      </c>
      <c r="I4" s="38" t="s">
        <v>41</v>
      </c>
      <c r="J4" s="38" t="s">
        <v>43</v>
      </c>
      <c r="K4" s="38" t="s">
        <v>43</v>
      </c>
      <c r="L4" s="38" t="s">
        <v>80</v>
      </c>
      <c r="M4" s="38" t="s">
        <v>43</v>
      </c>
      <c r="N4" s="38" t="s">
        <v>88</v>
      </c>
      <c r="O4" s="38"/>
      <c r="P4" s="38" t="s">
        <v>43</v>
      </c>
      <c r="Q4" s="38" t="s">
        <v>43</v>
      </c>
      <c r="R4" s="38" t="s">
        <v>43</v>
      </c>
    </row>
    <row r="5" spans="1:18" ht="33.75" x14ac:dyDescent="0.15">
      <c r="A5" s="38" t="s">
        <v>91</v>
      </c>
      <c r="B5" s="38" t="s">
        <v>84</v>
      </c>
      <c r="C5" s="34" t="s">
        <v>92</v>
      </c>
      <c r="D5" s="38" t="str">
        <f>VLOOKUP($A5,[1]Sheet1!$A$2:$G$249,2,FALSE)</f>
        <v>Americas</v>
      </c>
      <c r="E5" s="38" t="s">
        <v>86</v>
      </c>
      <c r="F5" s="38" t="s">
        <v>89</v>
      </c>
      <c r="G5" s="38" t="s">
        <v>43</v>
      </c>
      <c r="H5" s="38" t="s">
        <v>43</v>
      </c>
      <c r="I5" s="38" t="s">
        <v>41</v>
      </c>
      <c r="J5" s="38" t="s">
        <v>43</v>
      </c>
      <c r="K5" s="38" t="s">
        <v>43</v>
      </c>
      <c r="L5" s="38" t="s">
        <v>90</v>
      </c>
      <c r="M5" s="38" t="s">
        <v>43</v>
      </c>
      <c r="N5" s="38" t="s">
        <v>93</v>
      </c>
      <c r="O5" s="38"/>
      <c r="P5" s="38" t="s">
        <v>43</v>
      </c>
      <c r="Q5" s="38" t="s">
        <v>43</v>
      </c>
      <c r="R5" s="38" t="s">
        <v>43</v>
      </c>
    </row>
    <row r="6" spans="1:18" ht="33.75" x14ac:dyDescent="0.15">
      <c r="A6" s="38" t="s">
        <v>95</v>
      </c>
      <c r="B6" s="38" t="s">
        <v>84</v>
      </c>
      <c r="C6" s="34" t="s">
        <v>96</v>
      </c>
      <c r="D6" s="38" t="str">
        <f>VLOOKUP($A6,[1]Sheet1!$A$2:$G$249,2,FALSE)</f>
        <v>Americas</v>
      </c>
      <c r="E6" s="38" t="s">
        <v>86</v>
      </c>
      <c r="F6" s="38" t="s">
        <v>100</v>
      </c>
      <c r="G6" s="38" t="s">
        <v>43</v>
      </c>
      <c r="H6" s="38" t="s">
        <v>43</v>
      </c>
      <c r="I6" s="38" t="s">
        <v>43</v>
      </c>
      <c r="J6" s="38" t="s">
        <v>43</v>
      </c>
      <c r="K6" s="38" t="s">
        <v>41</v>
      </c>
      <c r="L6" s="38" t="s">
        <v>94</v>
      </c>
      <c r="M6" s="38" t="s">
        <v>43</v>
      </c>
      <c r="N6" s="38" t="s">
        <v>56</v>
      </c>
      <c r="O6" s="38"/>
      <c r="P6" s="38" t="s">
        <v>43</v>
      </c>
      <c r="Q6" s="38" t="s">
        <v>43</v>
      </c>
      <c r="R6" s="38" t="s">
        <v>43</v>
      </c>
    </row>
    <row r="7" spans="1:18" ht="33.75" x14ac:dyDescent="0.15">
      <c r="A7" s="38" t="s">
        <v>110</v>
      </c>
      <c r="B7" s="38" t="s">
        <v>53</v>
      </c>
      <c r="C7" s="34" t="s">
        <v>111</v>
      </c>
      <c r="D7" s="38" t="str">
        <f>VLOOKUP($A7,[1]Sheet1!$A$2:$G$249,2,FALSE)</f>
        <v>Asia</v>
      </c>
      <c r="E7" s="38" t="s">
        <v>104</v>
      </c>
      <c r="F7" s="38"/>
      <c r="G7" s="38" t="s">
        <v>43</v>
      </c>
      <c r="H7" s="38" t="s">
        <v>41</v>
      </c>
      <c r="I7" s="38" t="s">
        <v>43</v>
      </c>
      <c r="J7" s="38" t="s">
        <v>43</v>
      </c>
      <c r="K7" s="38" t="s">
        <v>41</v>
      </c>
      <c r="L7" s="38" t="s">
        <v>109</v>
      </c>
      <c r="M7" s="38" t="s">
        <v>43</v>
      </c>
      <c r="N7" s="38" t="s">
        <v>56</v>
      </c>
      <c r="O7" s="38"/>
      <c r="P7" s="38" t="s">
        <v>43</v>
      </c>
      <c r="Q7" s="38" t="s">
        <v>43</v>
      </c>
      <c r="R7" s="38" t="s">
        <v>43</v>
      </c>
    </row>
    <row r="8" spans="1:18" ht="22.5" x14ac:dyDescent="0.15">
      <c r="A8" s="38" t="s">
        <v>114</v>
      </c>
      <c r="B8" s="38" t="s">
        <v>64</v>
      </c>
      <c r="C8" s="34" t="s">
        <v>116</v>
      </c>
      <c r="D8" s="38" t="str">
        <f>VLOOKUP($A8,[1]Sheet1!$A$2:$G$249,2,FALSE)</f>
        <v>Asia</v>
      </c>
      <c r="E8" s="38" t="s">
        <v>104</v>
      </c>
      <c r="F8" s="38"/>
      <c r="G8" s="38" t="s">
        <v>43</v>
      </c>
      <c r="H8" s="38" t="s">
        <v>43</v>
      </c>
      <c r="I8" s="38" t="s">
        <v>43</v>
      </c>
      <c r="J8" s="38" t="s">
        <v>43</v>
      </c>
      <c r="K8" s="38" t="s">
        <v>43</v>
      </c>
      <c r="L8" s="38" t="s">
        <v>113</v>
      </c>
      <c r="M8" s="38" t="s">
        <v>43</v>
      </c>
      <c r="N8" s="38" t="s">
        <v>93</v>
      </c>
      <c r="O8" s="38"/>
      <c r="P8" s="38" t="s">
        <v>43</v>
      </c>
      <c r="Q8" s="38" t="s">
        <v>43</v>
      </c>
      <c r="R8" s="38" t="s">
        <v>43</v>
      </c>
    </row>
    <row r="9" spans="1:18" ht="33.75" x14ac:dyDescent="0.15">
      <c r="A9" s="38" t="s">
        <v>82</v>
      </c>
      <c r="B9" s="38" t="s">
        <v>84</v>
      </c>
      <c r="C9" s="35" t="s">
        <v>125</v>
      </c>
      <c r="D9" s="38" t="str">
        <f>VLOOKUP($A9,[1]Sheet1!$A$2:$G$249,2,FALSE)</f>
        <v>Americas</v>
      </c>
      <c r="E9" s="38" t="s">
        <v>86</v>
      </c>
      <c r="F9" s="38" t="s">
        <v>89</v>
      </c>
      <c r="G9" s="38" t="s">
        <v>43</v>
      </c>
      <c r="H9" s="38" t="s">
        <v>43</v>
      </c>
      <c r="I9" s="38" t="s">
        <v>41</v>
      </c>
      <c r="J9" s="38" t="s">
        <v>43</v>
      </c>
      <c r="K9" s="38" t="s">
        <v>41</v>
      </c>
      <c r="L9" s="38" t="s">
        <v>916</v>
      </c>
      <c r="M9" s="38" t="s">
        <v>43</v>
      </c>
      <c r="N9" s="38" t="s">
        <v>93</v>
      </c>
      <c r="O9" s="38"/>
      <c r="P9" s="38" t="s">
        <v>43</v>
      </c>
      <c r="Q9" s="38" t="s">
        <v>43</v>
      </c>
      <c r="R9" s="38" t="s">
        <v>43</v>
      </c>
    </row>
    <row r="10" spans="1:18" ht="33.75" x14ac:dyDescent="0.15">
      <c r="A10" s="38" t="s">
        <v>82</v>
      </c>
      <c r="B10" s="38" t="s">
        <v>84</v>
      </c>
      <c r="C10" s="34" t="s">
        <v>917</v>
      </c>
      <c r="D10" s="38" t="str">
        <f>VLOOKUP($A10,[1]Sheet1!$A$2:$G$249,2,FALSE)</f>
        <v>Americas</v>
      </c>
      <c r="E10" s="38" t="s">
        <v>86</v>
      </c>
      <c r="F10" s="38" t="s">
        <v>89</v>
      </c>
      <c r="G10" s="38" t="s">
        <v>43</v>
      </c>
      <c r="H10" s="38" t="s">
        <v>43</v>
      </c>
      <c r="I10" s="38" t="s">
        <v>41</v>
      </c>
      <c r="J10" s="38" t="s">
        <v>43</v>
      </c>
      <c r="K10" s="38" t="s">
        <v>41</v>
      </c>
      <c r="L10" s="38" t="s">
        <v>916</v>
      </c>
      <c r="M10" s="38" t="s">
        <v>43</v>
      </c>
      <c r="N10" s="38" t="s">
        <v>93</v>
      </c>
      <c r="O10" s="38"/>
      <c r="P10" s="38" t="s">
        <v>43</v>
      </c>
      <c r="Q10" s="38" t="s">
        <v>43</v>
      </c>
      <c r="R10" s="38" t="s">
        <v>43</v>
      </c>
    </row>
    <row r="11" spans="1:18" ht="33.75" x14ac:dyDescent="0.15">
      <c r="A11" s="38" t="s">
        <v>130</v>
      </c>
      <c r="B11" s="38" t="s">
        <v>53</v>
      </c>
      <c r="C11" s="34" t="s">
        <v>131</v>
      </c>
      <c r="D11" s="38" t="str">
        <f>VLOOKUP($A11,[1]Sheet1!$A$2:$G$249,2,FALSE)</f>
        <v>Europe</v>
      </c>
      <c r="E11" s="38" t="s">
        <v>132</v>
      </c>
      <c r="F11" s="38"/>
      <c r="G11" s="38" t="s">
        <v>43</v>
      </c>
      <c r="H11" s="38" t="s">
        <v>43</v>
      </c>
      <c r="I11" s="38" t="s">
        <v>43</v>
      </c>
      <c r="J11" s="38" t="s">
        <v>43</v>
      </c>
      <c r="K11" s="38" t="s">
        <v>41</v>
      </c>
      <c r="L11" s="38" t="s">
        <v>918</v>
      </c>
      <c r="M11" s="38" t="s">
        <v>43</v>
      </c>
      <c r="N11" s="38" t="s">
        <v>56</v>
      </c>
      <c r="O11" s="38"/>
      <c r="P11" s="38" t="s">
        <v>43</v>
      </c>
      <c r="Q11" s="38" t="s">
        <v>43</v>
      </c>
      <c r="R11" s="38" t="s">
        <v>43</v>
      </c>
    </row>
    <row r="12" spans="1:18" ht="33.75" x14ac:dyDescent="0.15">
      <c r="A12" s="38" t="s">
        <v>144</v>
      </c>
      <c r="B12" s="38" t="s">
        <v>145</v>
      </c>
      <c r="C12" s="34" t="s">
        <v>921</v>
      </c>
      <c r="D12" s="38" t="str">
        <f>VLOOKUP($A12,[1]Sheet1!$A$2:$G$249,2,FALSE)</f>
        <v>Africa</v>
      </c>
      <c r="E12" s="38" t="s">
        <v>73</v>
      </c>
      <c r="F12" s="38" t="s">
        <v>150</v>
      </c>
      <c r="G12" s="38" t="s">
        <v>41</v>
      </c>
      <c r="H12" s="38" t="s">
        <v>43</v>
      </c>
      <c r="I12" s="38" t="s">
        <v>43</v>
      </c>
      <c r="J12" s="38" t="s">
        <v>43</v>
      </c>
      <c r="K12" s="38" t="s">
        <v>41</v>
      </c>
      <c r="L12" s="38" t="s">
        <v>143</v>
      </c>
      <c r="M12" s="38" t="s">
        <v>43</v>
      </c>
      <c r="N12" s="38" t="s">
        <v>74</v>
      </c>
      <c r="O12" s="38"/>
      <c r="P12" s="38" t="s">
        <v>43</v>
      </c>
      <c r="Q12" s="38" t="s">
        <v>43</v>
      </c>
      <c r="R12" s="38" t="s">
        <v>41</v>
      </c>
    </row>
    <row r="13" spans="1:18" ht="33.75" x14ac:dyDescent="0.15">
      <c r="A13" s="38" t="s">
        <v>152</v>
      </c>
      <c r="B13" s="38" t="s">
        <v>38</v>
      </c>
      <c r="C13" s="34" t="s">
        <v>153</v>
      </c>
      <c r="D13" s="38" t="str">
        <f>VLOOKUP($A13,[1]Sheet1!$A$2:$G$249,2,FALSE)</f>
        <v>Asia</v>
      </c>
      <c r="E13" s="38" t="s">
        <v>40</v>
      </c>
      <c r="F13" s="38"/>
      <c r="G13" s="38" t="s">
        <v>43</v>
      </c>
      <c r="H13" s="38" t="s">
        <v>41</v>
      </c>
      <c r="I13" s="38" t="s">
        <v>43</v>
      </c>
      <c r="J13" s="38" t="s">
        <v>43</v>
      </c>
      <c r="K13" s="38" t="s">
        <v>41</v>
      </c>
      <c r="L13" s="38" t="s">
        <v>151</v>
      </c>
      <c r="M13" s="38" t="s">
        <v>43</v>
      </c>
      <c r="N13" s="38" t="s">
        <v>74</v>
      </c>
      <c r="O13" s="38"/>
      <c r="P13" s="38" t="s">
        <v>43</v>
      </c>
      <c r="Q13" s="38" t="s">
        <v>43</v>
      </c>
      <c r="R13" s="38" t="s">
        <v>43</v>
      </c>
    </row>
    <row r="14" spans="1:18" ht="33.75" x14ac:dyDescent="0.15">
      <c r="A14" s="38" t="s">
        <v>158</v>
      </c>
      <c r="B14" s="38" t="s">
        <v>84</v>
      </c>
      <c r="C14" s="34" t="s">
        <v>159</v>
      </c>
      <c r="D14" s="38" t="str">
        <f>VLOOKUP($A14,[1]Sheet1!$A$2:$G$249,2,FALSE)</f>
        <v>Americas</v>
      </c>
      <c r="E14" s="38" t="s">
        <v>86</v>
      </c>
      <c r="F14" s="38" t="s">
        <v>100</v>
      </c>
      <c r="G14" s="38" t="s">
        <v>43</v>
      </c>
      <c r="H14" s="38" t="s">
        <v>41</v>
      </c>
      <c r="I14" s="38" t="s">
        <v>43</v>
      </c>
      <c r="J14" s="38" t="s">
        <v>43</v>
      </c>
      <c r="K14" s="38" t="s">
        <v>41</v>
      </c>
      <c r="L14" s="38" t="s">
        <v>157</v>
      </c>
      <c r="M14" s="38" t="s">
        <v>43</v>
      </c>
      <c r="N14" s="38" t="s">
        <v>74</v>
      </c>
      <c r="O14" s="38"/>
      <c r="P14" s="38" t="s">
        <v>43</v>
      </c>
      <c r="Q14" s="38" t="s">
        <v>43</v>
      </c>
      <c r="R14" s="38" t="s">
        <v>43</v>
      </c>
    </row>
    <row r="15" spans="1:18" ht="45" x14ac:dyDescent="0.15">
      <c r="A15" s="38" t="s">
        <v>165</v>
      </c>
      <c r="B15" s="38" t="s">
        <v>53</v>
      </c>
      <c r="C15" s="34" t="s">
        <v>166</v>
      </c>
      <c r="D15" s="38" t="str">
        <f>VLOOKUP($A15,[1]Sheet1!$A$2:$G$249,2,FALSE)</f>
        <v>Europe</v>
      </c>
      <c r="E15" s="38" t="s">
        <v>55</v>
      </c>
      <c r="F15" s="38"/>
      <c r="G15" s="38" t="s">
        <v>43</v>
      </c>
      <c r="H15" s="38" t="s">
        <v>43</v>
      </c>
      <c r="I15" s="38" t="s">
        <v>43</v>
      </c>
      <c r="J15" s="38" t="s">
        <v>43</v>
      </c>
      <c r="K15" s="38" t="s">
        <v>41</v>
      </c>
      <c r="L15" s="38" t="s">
        <v>922</v>
      </c>
      <c r="M15" s="38" t="s">
        <v>43</v>
      </c>
      <c r="N15" s="38" t="s">
        <v>56</v>
      </c>
      <c r="O15" s="38"/>
      <c r="P15" s="38" t="s">
        <v>43</v>
      </c>
      <c r="Q15" s="38" t="s">
        <v>43</v>
      </c>
      <c r="R15" s="38" t="s">
        <v>43</v>
      </c>
    </row>
    <row r="16" spans="1:18" ht="33.75" x14ac:dyDescent="0.15">
      <c r="A16" s="38" t="s">
        <v>171</v>
      </c>
      <c r="B16" s="38" t="s">
        <v>72</v>
      </c>
      <c r="C16" s="34" t="s">
        <v>172</v>
      </c>
      <c r="D16" s="38" t="str">
        <f>VLOOKUP($A16,[1]Sheet1!$A$2:$G$249,2,FALSE)</f>
        <v>Africa</v>
      </c>
      <c r="E16" s="38" t="s">
        <v>73</v>
      </c>
      <c r="F16" s="38" t="s">
        <v>176</v>
      </c>
      <c r="G16" s="38" t="s">
        <v>43</v>
      </c>
      <c r="H16" s="38" t="s">
        <v>41</v>
      </c>
      <c r="I16" s="38" t="s">
        <v>43</v>
      </c>
      <c r="J16" s="38" t="s">
        <v>43</v>
      </c>
      <c r="K16" s="38" t="s">
        <v>41</v>
      </c>
      <c r="L16" s="38" t="s">
        <v>923</v>
      </c>
      <c r="M16" s="38" t="s">
        <v>41</v>
      </c>
      <c r="N16" s="38" t="s">
        <v>56</v>
      </c>
      <c r="O16" s="38"/>
      <c r="P16" s="38" t="s">
        <v>43</v>
      </c>
      <c r="Q16" s="38" t="s">
        <v>43</v>
      </c>
      <c r="R16" s="38" t="s">
        <v>43</v>
      </c>
    </row>
    <row r="17" spans="1:18" ht="33.75" x14ac:dyDescent="0.15">
      <c r="A17" s="38" t="s">
        <v>178</v>
      </c>
      <c r="B17" s="38" t="s">
        <v>84</v>
      </c>
      <c r="C17" s="34" t="s">
        <v>179</v>
      </c>
      <c r="D17" s="38" t="str">
        <f>VLOOKUP($A17,[1]Sheet1!$A$2:$G$249,2,FALSE)</f>
        <v>Americas</v>
      </c>
      <c r="E17" s="38" t="s">
        <v>86</v>
      </c>
      <c r="F17" s="38" t="s">
        <v>100</v>
      </c>
      <c r="G17" s="38" t="s">
        <v>43</v>
      </c>
      <c r="H17" s="38" t="s">
        <v>43</v>
      </c>
      <c r="I17" s="38" t="s">
        <v>43</v>
      </c>
      <c r="J17" s="38" t="s">
        <v>43</v>
      </c>
      <c r="K17" s="38" t="s">
        <v>41</v>
      </c>
      <c r="L17" s="38" t="s">
        <v>924</v>
      </c>
      <c r="M17" s="38" t="s">
        <v>41</v>
      </c>
      <c r="N17" s="38" t="s">
        <v>56</v>
      </c>
      <c r="O17" s="38"/>
      <c r="P17" s="38" t="s">
        <v>43</v>
      </c>
      <c r="Q17" s="38" t="s">
        <v>43</v>
      </c>
      <c r="R17" s="38" t="s">
        <v>43</v>
      </c>
    </row>
    <row r="18" spans="1:18" ht="33.75" x14ac:dyDescent="0.15">
      <c r="A18" s="38" t="s">
        <v>185</v>
      </c>
      <c r="B18" s="38" t="s">
        <v>84</v>
      </c>
      <c r="C18" s="34" t="s">
        <v>186</v>
      </c>
      <c r="D18" s="38" t="str">
        <f>VLOOKUP($A18,[1]Sheet1!$A$2:$G$249,2,FALSE)</f>
        <v>Americas</v>
      </c>
      <c r="E18" s="38" t="s">
        <v>86</v>
      </c>
      <c r="F18" s="38" t="s">
        <v>89</v>
      </c>
      <c r="G18" s="38" t="s">
        <v>43</v>
      </c>
      <c r="H18" s="38" t="s">
        <v>43</v>
      </c>
      <c r="I18" s="38" t="s">
        <v>41</v>
      </c>
      <c r="J18" s="38" t="s">
        <v>43</v>
      </c>
      <c r="K18" s="38" t="s">
        <v>43</v>
      </c>
      <c r="L18" s="38" t="s">
        <v>184</v>
      </c>
      <c r="M18" s="38" t="s">
        <v>43</v>
      </c>
      <c r="N18" s="38" t="s">
        <v>93</v>
      </c>
      <c r="O18" s="38"/>
      <c r="P18" s="38" t="s">
        <v>43</v>
      </c>
      <c r="Q18" s="38" t="s">
        <v>43</v>
      </c>
      <c r="R18" s="38" t="s">
        <v>43</v>
      </c>
    </row>
    <row r="19" spans="1:18" ht="45" x14ac:dyDescent="0.15">
      <c r="A19" s="38" t="s">
        <v>201</v>
      </c>
      <c r="B19" s="38" t="s">
        <v>72</v>
      </c>
      <c r="C19" s="34" t="s">
        <v>202</v>
      </c>
      <c r="D19" s="38" t="str">
        <f>VLOOKUP($A19,[1]Sheet1!$A$2:$G$249,2,FALSE)</f>
        <v>Africa</v>
      </c>
      <c r="E19" s="38" t="s">
        <v>73</v>
      </c>
      <c r="F19" s="38" t="s">
        <v>208</v>
      </c>
      <c r="G19" s="38" t="s">
        <v>41</v>
      </c>
      <c r="H19" s="38" t="s">
        <v>41</v>
      </c>
      <c r="I19" s="38" t="s">
        <v>43</v>
      </c>
      <c r="J19" s="38" t="s">
        <v>41</v>
      </c>
      <c r="K19" s="38" t="s">
        <v>41</v>
      </c>
      <c r="L19" s="38" t="s">
        <v>928</v>
      </c>
      <c r="M19" s="38" t="s">
        <v>41</v>
      </c>
      <c r="N19" s="38" t="s">
        <v>44</v>
      </c>
      <c r="O19" s="38" t="s">
        <v>203</v>
      </c>
      <c r="P19" s="38" t="s">
        <v>43</v>
      </c>
      <c r="Q19" s="38" t="s">
        <v>43</v>
      </c>
      <c r="R19" s="38" t="s">
        <v>41</v>
      </c>
    </row>
    <row r="20" spans="1:18" ht="33.75" x14ac:dyDescent="0.15">
      <c r="A20" s="38" t="s">
        <v>210</v>
      </c>
      <c r="B20" s="38" t="s">
        <v>145</v>
      </c>
      <c r="C20" s="34" t="s">
        <v>929</v>
      </c>
      <c r="D20" s="38" t="str">
        <f>VLOOKUP($A20,[1]Sheet1!$A$2:$G$249,2,FALSE)</f>
        <v>Africa</v>
      </c>
      <c r="E20" s="38" t="s">
        <v>73</v>
      </c>
      <c r="F20" s="38" t="s">
        <v>150</v>
      </c>
      <c r="G20" s="38" t="s">
        <v>43</v>
      </c>
      <c r="H20" s="38" t="s">
        <v>43</v>
      </c>
      <c r="I20" s="38" t="s">
        <v>41</v>
      </c>
      <c r="J20" s="38" t="s">
        <v>43</v>
      </c>
      <c r="K20" s="38" t="s">
        <v>41</v>
      </c>
      <c r="L20" s="38" t="s">
        <v>930</v>
      </c>
      <c r="M20" s="38" t="s">
        <v>43</v>
      </c>
      <c r="N20" s="38" t="s">
        <v>74</v>
      </c>
      <c r="O20" s="38"/>
      <c r="P20" s="38" t="s">
        <v>43</v>
      </c>
      <c r="Q20" s="38" t="s">
        <v>43</v>
      </c>
      <c r="R20" s="38" t="s">
        <v>43</v>
      </c>
    </row>
    <row r="21" spans="1:18" ht="33.75" x14ac:dyDescent="0.15">
      <c r="A21" s="38" t="s">
        <v>213</v>
      </c>
      <c r="B21" s="38" t="s">
        <v>215</v>
      </c>
      <c r="C21" s="34" t="s">
        <v>214</v>
      </c>
      <c r="D21" s="38" t="str">
        <f>VLOOKUP($A21,[1]Sheet1!$A$2:$G$249,2,FALSE)</f>
        <v>Asia</v>
      </c>
      <c r="E21" s="38" t="s">
        <v>216</v>
      </c>
      <c r="F21" s="38"/>
      <c r="G21" s="38" t="s">
        <v>41</v>
      </c>
      <c r="H21" s="38" t="s">
        <v>43</v>
      </c>
      <c r="I21" s="38" t="s">
        <v>43</v>
      </c>
      <c r="J21" s="38" t="s">
        <v>43</v>
      </c>
      <c r="K21" s="38" t="s">
        <v>41</v>
      </c>
      <c r="L21" s="38" t="s">
        <v>931</v>
      </c>
      <c r="M21" s="38" t="s">
        <v>43</v>
      </c>
      <c r="N21" s="38" t="s">
        <v>74</v>
      </c>
      <c r="O21" s="38"/>
      <c r="P21" s="38" t="s">
        <v>43</v>
      </c>
      <c r="Q21" s="38" t="s">
        <v>43</v>
      </c>
      <c r="R21" s="38" t="s">
        <v>43</v>
      </c>
    </row>
    <row r="22" spans="1:18" ht="33.75" x14ac:dyDescent="0.15">
      <c r="A22" s="38" t="s">
        <v>236</v>
      </c>
      <c r="B22" s="38" t="s">
        <v>84</v>
      </c>
      <c r="C22" s="34" t="s">
        <v>237</v>
      </c>
      <c r="D22" s="38" t="str">
        <f>VLOOKUP($A22,[1]Sheet1!$A$2:$G$249,2,FALSE)</f>
        <v>Americas</v>
      </c>
      <c r="E22" s="38" t="s">
        <v>86</v>
      </c>
      <c r="F22" s="38" t="s">
        <v>100</v>
      </c>
      <c r="G22" s="38" t="s">
        <v>43</v>
      </c>
      <c r="H22" s="38" t="s">
        <v>43</v>
      </c>
      <c r="I22" s="38" t="s">
        <v>43</v>
      </c>
      <c r="J22" s="38" t="s">
        <v>43</v>
      </c>
      <c r="K22" s="38" t="s">
        <v>41</v>
      </c>
      <c r="L22" s="38" t="s">
        <v>934</v>
      </c>
      <c r="M22" s="38" t="s">
        <v>43</v>
      </c>
      <c r="N22" s="38" t="s">
        <v>93</v>
      </c>
      <c r="O22" s="38"/>
      <c r="P22" s="38" t="s">
        <v>43</v>
      </c>
      <c r="Q22" s="38" t="s">
        <v>43</v>
      </c>
      <c r="R22" s="38" t="s">
        <v>43</v>
      </c>
    </row>
    <row r="23" spans="1:18" ht="33.75" x14ac:dyDescent="0.15">
      <c r="A23" s="38" t="s">
        <v>242</v>
      </c>
      <c r="B23" s="38" t="s">
        <v>215</v>
      </c>
      <c r="C23" s="34" t="s">
        <v>243</v>
      </c>
      <c r="D23" s="38" t="str">
        <f>VLOOKUP($A23,[1]Sheet1!$A$2:$G$249,2,FALSE)</f>
        <v>Asia</v>
      </c>
      <c r="E23" s="38" t="s">
        <v>244</v>
      </c>
      <c r="F23" s="38"/>
      <c r="G23" s="38" t="s">
        <v>43</v>
      </c>
      <c r="H23" s="38" t="s">
        <v>43</v>
      </c>
      <c r="I23" s="38" t="s">
        <v>43</v>
      </c>
      <c r="J23" s="38" t="s">
        <v>43</v>
      </c>
      <c r="K23" s="38" t="s">
        <v>41</v>
      </c>
      <c r="L23" s="38" t="s">
        <v>241</v>
      </c>
      <c r="M23" s="38" t="s">
        <v>41</v>
      </c>
      <c r="N23" s="38" t="s">
        <v>56</v>
      </c>
      <c r="O23" s="38"/>
      <c r="P23" s="38" t="s">
        <v>43</v>
      </c>
      <c r="Q23" s="38" t="s">
        <v>43</v>
      </c>
      <c r="R23" s="38" t="s">
        <v>43</v>
      </c>
    </row>
    <row r="24" spans="1:18" ht="33.75" x14ac:dyDescent="0.15">
      <c r="A24" s="38" t="s">
        <v>248</v>
      </c>
      <c r="B24" s="38" t="s">
        <v>84</v>
      </c>
      <c r="C24" s="34" t="s">
        <v>249</v>
      </c>
      <c r="D24" s="38" t="str">
        <f>VLOOKUP($A24,[1]Sheet1!$A$2:$G$249,2,FALSE)</f>
        <v>Americas</v>
      </c>
      <c r="E24" s="38" t="s">
        <v>86</v>
      </c>
      <c r="F24" s="38" t="s">
        <v>100</v>
      </c>
      <c r="G24" s="38" t="s">
        <v>43</v>
      </c>
      <c r="H24" s="38" t="s">
        <v>43</v>
      </c>
      <c r="I24" s="38" t="s">
        <v>43</v>
      </c>
      <c r="J24" s="38" t="s">
        <v>41</v>
      </c>
      <c r="K24" s="38" t="s">
        <v>41</v>
      </c>
      <c r="L24" s="38" t="s">
        <v>247</v>
      </c>
      <c r="M24" s="38" t="s">
        <v>43</v>
      </c>
      <c r="N24" s="38" t="s">
        <v>56</v>
      </c>
      <c r="O24" s="38"/>
      <c r="P24" s="38" t="s">
        <v>43</v>
      </c>
      <c r="Q24" s="38" t="s">
        <v>43</v>
      </c>
      <c r="R24" s="38" t="s">
        <v>43</v>
      </c>
    </row>
    <row r="25" spans="1:18" ht="45" x14ac:dyDescent="0.15">
      <c r="A25" s="38" t="s">
        <v>255</v>
      </c>
      <c r="B25" s="38" t="s">
        <v>72</v>
      </c>
      <c r="C25" s="34" t="s">
        <v>935</v>
      </c>
      <c r="D25" s="38" t="str">
        <f>VLOOKUP($A25,[1]Sheet1!$A$2:$G$249,2,FALSE)</f>
        <v>Africa</v>
      </c>
      <c r="E25" s="38" t="s">
        <v>73</v>
      </c>
      <c r="F25" s="38" t="s">
        <v>208</v>
      </c>
      <c r="G25" s="38" t="s">
        <v>41</v>
      </c>
      <c r="H25" s="38" t="s">
        <v>43</v>
      </c>
      <c r="I25" s="38" t="s">
        <v>41</v>
      </c>
      <c r="J25" s="38" t="s">
        <v>43</v>
      </c>
      <c r="K25" s="38" t="s">
        <v>41</v>
      </c>
      <c r="L25" s="38" t="s">
        <v>254</v>
      </c>
      <c r="M25" s="38" t="s">
        <v>43</v>
      </c>
      <c r="N25" s="38" t="s">
        <v>74</v>
      </c>
      <c r="O25" s="38" t="s">
        <v>203</v>
      </c>
      <c r="P25" s="38" t="s">
        <v>43</v>
      </c>
      <c r="Q25" s="38" t="s">
        <v>43</v>
      </c>
      <c r="R25" s="38" t="s">
        <v>43</v>
      </c>
    </row>
    <row r="26" spans="1:18" ht="45" x14ac:dyDescent="0.15">
      <c r="A26" s="38" t="s">
        <v>260</v>
      </c>
      <c r="B26" s="38" t="s">
        <v>145</v>
      </c>
      <c r="C26" s="34" t="s">
        <v>936</v>
      </c>
      <c r="D26" s="38" t="str">
        <f>VLOOKUP($A26,[1]Sheet1!$A$2:$G$249,2,FALSE)</f>
        <v>Africa</v>
      </c>
      <c r="E26" s="38" t="s">
        <v>73</v>
      </c>
      <c r="F26" s="38" t="s">
        <v>79</v>
      </c>
      <c r="G26" s="38" t="s">
        <v>43</v>
      </c>
      <c r="H26" s="38" t="s">
        <v>43</v>
      </c>
      <c r="I26" s="38" t="s">
        <v>43</v>
      </c>
      <c r="J26" s="38" t="s">
        <v>43</v>
      </c>
      <c r="K26" s="38" t="s">
        <v>41</v>
      </c>
      <c r="L26" s="38" t="s">
        <v>937</v>
      </c>
      <c r="M26" s="38" t="s">
        <v>43</v>
      </c>
      <c r="N26" s="38" t="s">
        <v>74</v>
      </c>
      <c r="O26" s="38" t="s">
        <v>203</v>
      </c>
      <c r="P26" s="38" t="s">
        <v>43</v>
      </c>
      <c r="Q26" s="38" t="s">
        <v>43</v>
      </c>
      <c r="R26" s="38" t="s">
        <v>43</v>
      </c>
    </row>
    <row r="27" spans="1:18" ht="22.5" x14ac:dyDescent="0.15">
      <c r="A27" s="38" t="s">
        <v>266</v>
      </c>
      <c r="B27" s="38" t="s">
        <v>215</v>
      </c>
      <c r="C27" s="34" t="s">
        <v>268</v>
      </c>
      <c r="D27" s="38" t="str">
        <f>VLOOKUP($A27,[1]Sheet1!$A$2:$G$249,2,FALSE)</f>
        <v>Oceania</v>
      </c>
      <c r="E27" s="38" t="s">
        <v>270</v>
      </c>
      <c r="F27" s="38"/>
      <c r="G27" s="38" t="s">
        <v>43</v>
      </c>
      <c r="H27" s="38" t="s">
        <v>43</v>
      </c>
      <c r="I27" s="38" t="s">
        <v>41</v>
      </c>
      <c r="J27" s="38" t="s">
        <v>43</v>
      </c>
      <c r="K27" s="38" t="s">
        <v>43</v>
      </c>
      <c r="L27" s="38" t="s">
        <v>265</v>
      </c>
      <c r="M27" s="38" t="s">
        <v>43</v>
      </c>
      <c r="N27" s="38" t="s">
        <v>88</v>
      </c>
      <c r="O27" s="38"/>
      <c r="P27" s="38" t="s">
        <v>43</v>
      </c>
      <c r="Q27" s="38" t="s">
        <v>43</v>
      </c>
      <c r="R27" s="38" t="s">
        <v>43</v>
      </c>
    </row>
    <row r="28" spans="1:18" ht="33.75" x14ac:dyDescent="0.15">
      <c r="A28" s="38" t="s">
        <v>277</v>
      </c>
      <c r="B28" s="38" t="s">
        <v>145</v>
      </c>
      <c r="C28" s="34" t="s">
        <v>940</v>
      </c>
      <c r="D28" s="38" t="str">
        <f>VLOOKUP($A28,[1]Sheet1!$A$2:$G$249,2,FALSE)</f>
        <v>Africa</v>
      </c>
      <c r="E28" s="38" t="s">
        <v>73</v>
      </c>
      <c r="F28" s="38" t="s">
        <v>150</v>
      </c>
      <c r="G28" s="38" t="s">
        <v>43</v>
      </c>
      <c r="H28" s="38" t="s">
        <v>43</v>
      </c>
      <c r="I28" s="38" t="s">
        <v>43</v>
      </c>
      <c r="J28" s="38" t="s">
        <v>43</v>
      </c>
      <c r="K28" s="38" t="s">
        <v>41</v>
      </c>
      <c r="L28" s="38" t="s">
        <v>941</v>
      </c>
      <c r="M28" s="38" t="s">
        <v>41</v>
      </c>
      <c r="N28" s="38" t="s">
        <v>74</v>
      </c>
      <c r="O28" s="38"/>
      <c r="P28" s="38" t="s">
        <v>43</v>
      </c>
      <c r="Q28" s="38" t="s">
        <v>43</v>
      </c>
      <c r="R28" s="38" t="s">
        <v>41</v>
      </c>
    </row>
    <row r="29" spans="1:18" ht="22.5" x14ac:dyDescent="0.15">
      <c r="A29" s="38" t="s">
        <v>283</v>
      </c>
      <c r="B29" s="38" t="s">
        <v>53</v>
      </c>
      <c r="C29" s="34" t="s">
        <v>942</v>
      </c>
      <c r="D29" s="38" t="str">
        <f>VLOOKUP($A29,[1]Sheet1!$A$2:$G$249,2,FALSE)</f>
        <v>Europe</v>
      </c>
      <c r="E29" s="38" t="s">
        <v>55</v>
      </c>
      <c r="F29" s="38"/>
      <c r="G29" s="38" t="s">
        <v>43</v>
      </c>
      <c r="H29" s="38" t="s">
        <v>43</v>
      </c>
      <c r="I29" s="38" t="s">
        <v>43</v>
      </c>
      <c r="J29" s="38" t="s">
        <v>43</v>
      </c>
      <c r="K29" s="38" t="s">
        <v>41</v>
      </c>
      <c r="L29" s="38" t="s">
        <v>943</v>
      </c>
      <c r="M29" s="38" t="s">
        <v>43</v>
      </c>
      <c r="N29" s="38" t="s">
        <v>93</v>
      </c>
      <c r="O29" s="38"/>
      <c r="P29" s="38" t="s">
        <v>43</v>
      </c>
      <c r="Q29" s="38" t="s">
        <v>43</v>
      </c>
      <c r="R29" s="38" t="s">
        <v>43</v>
      </c>
    </row>
    <row r="30" spans="1:18" ht="33.75" x14ac:dyDescent="0.15">
      <c r="A30" s="38" t="s">
        <v>287</v>
      </c>
      <c r="B30" s="38" t="s">
        <v>84</v>
      </c>
      <c r="C30" s="34" t="s">
        <v>944</v>
      </c>
      <c r="D30" s="38" t="str">
        <f>VLOOKUP($A30,[1]Sheet1!$A$2:$G$249,2,FALSE)</f>
        <v>Americas</v>
      </c>
      <c r="E30" s="38" t="s">
        <v>86</v>
      </c>
      <c r="F30" s="38" t="s">
        <v>89</v>
      </c>
      <c r="G30" s="38" t="s">
        <v>43</v>
      </c>
      <c r="H30" s="38" t="s">
        <v>43</v>
      </c>
      <c r="I30" s="38" t="s">
        <v>41</v>
      </c>
      <c r="J30" s="38" t="s">
        <v>43</v>
      </c>
      <c r="K30" s="38" t="s">
        <v>41</v>
      </c>
      <c r="L30" s="38" t="s">
        <v>945</v>
      </c>
      <c r="M30" s="38" t="s">
        <v>43</v>
      </c>
      <c r="N30" s="38" t="s">
        <v>56</v>
      </c>
      <c r="O30" s="38"/>
      <c r="P30" s="38" t="s">
        <v>43</v>
      </c>
      <c r="Q30" s="38" t="s">
        <v>43</v>
      </c>
      <c r="R30" s="38" t="s">
        <v>43</v>
      </c>
    </row>
    <row r="31" spans="1:18" ht="33.75" x14ac:dyDescent="0.15">
      <c r="A31" s="38" t="s">
        <v>300</v>
      </c>
      <c r="B31" s="38" t="s">
        <v>64</v>
      </c>
      <c r="C31" s="34" t="s">
        <v>947</v>
      </c>
      <c r="D31" s="38" t="str">
        <f>VLOOKUP($A31,[1]Sheet1!$A$2:$G$249,2,FALSE)</f>
        <v>Africa</v>
      </c>
      <c r="E31" s="38" t="s">
        <v>73</v>
      </c>
      <c r="F31" s="38" t="s">
        <v>208</v>
      </c>
      <c r="G31" s="38" t="s">
        <v>41</v>
      </c>
      <c r="H31" s="38" t="s">
        <v>43</v>
      </c>
      <c r="I31" s="38" t="s">
        <v>43</v>
      </c>
      <c r="J31" s="38" t="s">
        <v>43</v>
      </c>
      <c r="K31" s="38" t="s">
        <v>41</v>
      </c>
      <c r="L31" s="38" t="s">
        <v>948</v>
      </c>
      <c r="M31" s="38" t="s">
        <v>41</v>
      </c>
      <c r="N31" s="38" t="s">
        <v>74</v>
      </c>
      <c r="O31" s="38"/>
      <c r="P31" s="38" t="s">
        <v>43</v>
      </c>
      <c r="Q31" s="38" t="s">
        <v>43</v>
      </c>
      <c r="R31" s="38" t="s">
        <v>43</v>
      </c>
    </row>
    <row r="32" spans="1:18" ht="33.75" x14ac:dyDescent="0.15">
      <c r="A32" s="38" t="s">
        <v>306</v>
      </c>
      <c r="B32" s="38" t="s">
        <v>84</v>
      </c>
      <c r="C32" s="34" t="s">
        <v>307</v>
      </c>
      <c r="D32" s="38" t="str">
        <f>VLOOKUP($A32,[1]Sheet1!$A$2:$G$249,2,FALSE)</f>
        <v>Americas</v>
      </c>
      <c r="E32" s="38" t="s">
        <v>86</v>
      </c>
      <c r="F32" s="38" t="s">
        <v>89</v>
      </c>
      <c r="G32" s="38" t="s">
        <v>43</v>
      </c>
      <c r="H32" s="38" t="s">
        <v>43</v>
      </c>
      <c r="I32" s="38" t="s">
        <v>41</v>
      </c>
      <c r="J32" s="38" t="s">
        <v>43</v>
      </c>
      <c r="K32" s="38" t="s">
        <v>43</v>
      </c>
      <c r="L32" s="38" t="s">
        <v>305</v>
      </c>
      <c r="M32" s="38" t="s">
        <v>43</v>
      </c>
      <c r="N32" s="38" t="s">
        <v>56</v>
      </c>
      <c r="O32" s="38"/>
      <c r="P32" s="38" t="s">
        <v>43</v>
      </c>
      <c r="Q32" s="38" t="s">
        <v>43</v>
      </c>
      <c r="R32" s="38" t="s">
        <v>43</v>
      </c>
    </row>
    <row r="33" spans="1:18" ht="33.75" x14ac:dyDescent="0.15">
      <c r="A33" s="38" t="s">
        <v>309</v>
      </c>
      <c r="B33" s="38" t="s">
        <v>84</v>
      </c>
      <c r="C33" s="34" t="s">
        <v>949</v>
      </c>
      <c r="D33" s="38" t="str">
        <f>VLOOKUP($A33,[1]Sheet1!$A$2:$G$249,2,FALSE)</f>
        <v>Americas</v>
      </c>
      <c r="E33" s="38" t="s">
        <v>86</v>
      </c>
      <c r="F33" s="38" t="s">
        <v>89</v>
      </c>
      <c r="G33" s="38" t="s">
        <v>43</v>
      </c>
      <c r="H33" s="38" t="s">
        <v>43</v>
      </c>
      <c r="I33" s="38" t="s">
        <v>41</v>
      </c>
      <c r="J33" s="38" t="s">
        <v>43</v>
      </c>
      <c r="K33" s="38" t="s">
        <v>41</v>
      </c>
      <c r="L33" s="38" t="s">
        <v>950</v>
      </c>
      <c r="M33" s="38" t="s">
        <v>41</v>
      </c>
      <c r="N33" s="38" t="s">
        <v>56</v>
      </c>
      <c r="O33" s="38"/>
      <c r="P33" s="38" t="s">
        <v>43</v>
      </c>
      <c r="Q33" s="38" t="s">
        <v>43</v>
      </c>
      <c r="R33" s="38" t="s">
        <v>43</v>
      </c>
    </row>
    <row r="34" spans="1:18" ht="33.75" x14ac:dyDescent="0.15">
      <c r="A34" s="38" t="s">
        <v>315</v>
      </c>
      <c r="B34" s="38" t="s">
        <v>215</v>
      </c>
      <c r="C34" s="34" t="s">
        <v>951</v>
      </c>
      <c r="D34" s="38" t="str">
        <f>VLOOKUP($A34,[1]Sheet1!$A$2:$G$249,2,FALSE)</f>
        <v>Asia</v>
      </c>
      <c r="E34" s="38" t="s">
        <v>244</v>
      </c>
      <c r="F34" s="38"/>
      <c r="G34" s="38" t="s">
        <v>43</v>
      </c>
      <c r="H34" s="38" t="s">
        <v>43</v>
      </c>
      <c r="I34" s="38" t="s">
        <v>43</v>
      </c>
      <c r="J34" s="38" t="s">
        <v>43</v>
      </c>
      <c r="K34" s="38" t="s">
        <v>41</v>
      </c>
      <c r="L34" s="38" t="s">
        <v>952</v>
      </c>
      <c r="M34" s="38" t="s">
        <v>43</v>
      </c>
      <c r="N34" s="38" t="s">
        <v>44</v>
      </c>
      <c r="O34" s="38"/>
      <c r="P34" s="38" t="s">
        <v>43</v>
      </c>
      <c r="Q34" s="38" t="s">
        <v>43</v>
      </c>
      <c r="R34" s="38" t="s">
        <v>43</v>
      </c>
    </row>
    <row r="35" spans="1:18" ht="33.75" x14ac:dyDescent="0.15">
      <c r="A35" s="38" t="s">
        <v>321</v>
      </c>
      <c r="B35" s="38" t="s">
        <v>84</v>
      </c>
      <c r="C35" s="34" t="s">
        <v>953</v>
      </c>
      <c r="D35" s="38" t="str">
        <f>VLOOKUP($A35,[1]Sheet1!$A$2:$G$249,2,FALSE)</f>
        <v>Americas</v>
      </c>
      <c r="E35" s="38" t="s">
        <v>86</v>
      </c>
      <c r="F35" s="38" t="s">
        <v>100</v>
      </c>
      <c r="G35" s="38" t="s">
        <v>43</v>
      </c>
      <c r="H35" s="38" t="s">
        <v>43</v>
      </c>
      <c r="I35" s="38" t="s">
        <v>43</v>
      </c>
      <c r="J35" s="38" t="s">
        <v>43</v>
      </c>
      <c r="K35" s="38" t="s">
        <v>41</v>
      </c>
      <c r="L35" s="38" t="s">
        <v>320</v>
      </c>
      <c r="M35" s="38" t="s">
        <v>43</v>
      </c>
      <c r="N35" s="38" t="s">
        <v>56</v>
      </c>
      <c r="O35" s="38"/>
      <c r="P35" s="38" t="s">
        <v>43</v>
      </c>
      <c r="Q35" s="38" t="s">
        <v>43</v>
      </c>
      <c r="R35" s="38" t="s">
        <v>43</v>
      </c>
    </row>
    <row r="36" spans="1:18" ht="33.75" x14ac:dyDescent="0.15">
      <c r="A36" s="38" t="s">
        <v>339</v>
      </c>
      <c r="B36" s="38" t="s">
        <v>145</v>
      </c>
      <c r="C36" s="34" t="s">
        <v>957</v>
      </c>
      <c r="D36" s="38" t="str">
        <f>VLOOKUP($A36,[1]Sheet1!$A$2:$G$249,2,FALSE)</f>
        <v>Africa</v>
      </c>
      <c r="E36" s="38" t="s">
        <v>73</v>
      </c>
      <c r="F36" s="38" t="s">
        <v>79</v>
      </c>
      <c r="G36" s="38" t="s">
        <v>43</v>
      </c>
      <c r="H36" s="38" t="s">
        <v>43</v>
      </c>
      <c r="I36" s="38" t="s">
        <v>43</v>
      </c>
      <c r="J36" s="38" t="s">
        <v>43</v>
      </c>
      <c r="K36" s="38" t="s">
        <v>41</v>
      </c>
      <c r="L36" s="38" t="s">
        <v>958</v>
      </c>
      <c r="M36" s="38" t="s">
        <v>43</v>
      </c>
      <c r="N36" s="38" t="s">
        <v>56</v>
      </c>
      <c r="O36" s="38"/>
      <c r="P36" s="38" t="s">
        <v>43</v>
      </c>
      <c r="Q36" s="38" t="s">
        <v>43</v>
      </c>
      <c r="R36" s="38" t="s">
        <v>43</v>
      </c>
    </row>
    <row r="37" spans="1:18" ht="33.75" x14ac:dyDescent="0.15">
      <c r="A37" s="38" t="s">
        <v>350</v>
      </c>
      <c r="B37" s="38" t="s">
        <v>72</v>
      </c>
      <c r="C37" s="34" t="s">
        <v>961</v>
      </c>
      <c r="D37" s="38" t="str">
        <f>VLOOKUP($A37,[1]Sheet1!$A$2:$G$249,2,FALSE)</f>
        <v>Africa</v>
      </c>
      <c r="E37" s="38" t="s">
        <v>73</v>
      </c>
      <c r="F37" s="38" t="s">
        <v>176</v>
      </c>
      <c r="G37" s="38" t="s">
        <v>43</v>
      </c>
      <c r="H37" s="38" t="s">
        <v>41</v>
      </c>
      <c r="I37" s="38" t="s">
        <v>43</v>
      </c>
      <c r="J37" s="38" t="s">
        <v>43</v>
      </c>
      <c r="K37" s="38" t="s">
        <v>41</v>
      </c>
      <c r="L37" s="38" t="s">
        <v>962</v>
      </c>
      <c r="M37" s="38" t="s">
        <v>41</v>
      </c>
      <c r="N37" s="38" t="s">
        <v>74</v>
      </c>
      <c r="O37" s="38"/>
      <c r="P37" s="38" t="s">
        <v>43</v>
      </c>
      <c r="Q37" s="38" t="s">
        <v>43</v>
      </c>
      <c r="R37" s="38" t="s">
        <v>43</v>
      </c>
    </row>
    <row r="38" spans="1:18" ht="33.75" x14ac:dyDescent="0.15">
      <c r="A38" s="38" t="s">
        <v>267</v>
      </c>
      <c r="B38" s="38" t="s">
        <v>215</v>
      </c>
      <c r="C38" s="35" t="s">
        <v>361</v>
      </c>
      <c r="D38" s="38" t="str">
        <f>VLOOKUP($A38,[1]Sheet1!$A$2:$G$249,2,FALSE)</f>
        <v>Oceania</v>
      </c>
      <c r="E38" s="38" t="s">
        <v>362</v>
      </c>
      <c r="F38" s="38"/>
      <c r="G38" s="38" t="s">
        <v>43</v>
      </c>
      <c r="H38" s="38" t="s">
        <v>43</v>
      </c>
      <c r="I38" s="38" t="s">
        <v>41</v>
      </c>
      <c r="J38" s="38" t="s">
        <v>43</v>
      </c>
      <c r="K38" s="38" t="s">
        <v>41</v>
      </c>
      <c r="L38" s="38" t="s">
        <v>360</v>
      </c>
      <c r="M38" s="38" t="s">
        <v>43</v>
      </c>
      <c r="N38" s="38" t="s">
        <v>56</v>
      </c>
      <c r="O38" s="38"/>
      <c r="P38" s="38" t="s">
        <v>43</v>
      </c>
      <c r="Q38" s="38" t="s">
        <v>43</v>
      </c>
      <c r="R38" s="38" t="s">
        <v>43</v>
      </c>
    </row>
    <row r="39" spans="1:18" ht="33.75" x14ac:dyDescent="0.15">
      <c r="A39" s="38" t="s">
        <v>267</v>
      </c>
      <c r="B39" s="38" t="s">
        <v>215</v>
      </c>
      <c r="C39" s="34" t="s">
        <v>964</v>
      </c>
      <c r="D39" s="38" t="str">
        <f>VLOOKUP($A39,[1]Sheet1!$A$2:$G$249,2,FALSE)</f>
        <v>Oceania</v>
      </c>
      <c r="E39" s="38" t="s">
        <v>362</v>
      </c>
      <c r="F39" s="38"/>
      <c r="G39" s="38" t="s">
        <v>43</v>
      </c>
      <c r="H39" s="38" t="s">
        <v>43</v>
      </c>
      <c r="I39" s="38" t="s">
        <v>41</v>
      </c>
      <c r="J39" s="38" t="s">
        <v>43</v>
      </c>
      <c r="K39" s="38" t="s">
        <v>41</v>
      </c>
      <c r="L39" s="38" t="s">
        <v>360</v>
      </c>
      <c r="M39" s="38" t="s">
        <v>43</v>
      </c>
      <c r="N39" s="38" t="s">
        <v>56</v>
      </c>
      <c r="O39" s="38"/>
      <c r="P39" s="38" t="s">
        <v>43</v>
      </c>
      <c r="Q39" s="38" t="s">
        <v>43</v>
      </c>
      <c r="R39" s="38" t="s">
        <v>43</v>
      </c>
    </row>
    <row r="40" spans="1:18" ht="33.75" x14ac:dyDescent="0.15">
      <c r="A40" s="38" t="s">
        <v>368</v>
      </c>
      <c r="B40" s="38" t="s">
        <v>145</v>
      </c>
      <c r="C40" s="34" t="s">
        <v>965</v>
      </c>
      <c r="D40" s="38" t="str">
        <f>VLOOKUP($A40,[1]Sheet1!$A$2:$G$249,2,FALSE)</f>
        <v>Africa</v>
      </c>
      <c r="E40" s="38" t="s">
        <v>73</v>
      </c>
      <c r="F40" s="38" t="s">
        <v>79</v>
      </c>
      <c r="G40" s="38" t="s">
        <v>43</v>
      </c>
      <c r="H40" s="38" t="s">
        <v>43</v>
      </c>
      <c r="I40" s="38" t="s">
        <v>43</v>
      </c>
      <c r="J40" s="38" t="s">
        <v>43</v>
      </c>
      <c r="K40" s="38" t="s">
        <v>41</v>
      </c>
      <c r="L40" s="38" t="s">
        <v>367</v>
      </c>
      <c r="M40" s="38" t="s">
        <v>43</v>
      </c>
      <c r="N40" s="38" t="s">
        <v>56</v>
      </c>
      <c r="O40" s="38"/>
      <c r="P40" s="38" t="s">
        <v>43</v>
      </c>
      <c r="Q40" s="38" t="s">
        <v>43</v>
      </c>
      <c r="R40" s="38" t="s">
        <v>43</v>
      </c>
    </row>
    <row r="41" spans="1:18" ht="22.5" x14ac:dyDescent="0.15">
      <c r="A41" s="38" t="s">
        <v>372</v>
      </c>
      <c r="B41" s="38" t="s">
        <v>145</v>
      </c>
      <c r="C41" s="34" t="s">
        <v>966</v>
      </c>
      <c r="D41" s="38" t="str">
        <f>VLOOKUP($A41,[1]Sheet1!$A$2:$G$249,2,FALSE)</f>
        <v>Africa</v>
      </c>
      <c r="E41" s="38" t="s">
        <v>73</v>
      </c>
      <c r="F41" s="38" t="s">
        <v>150</v>
      </c>
      <c r="G41" s="38" t="s">
        <v>41</v>
      </c>
      <c r="H41" s="38" t="s">
        <v>43</v>
      </c>
      <c r="I41" s="38" t="s">
        <v>43</v>
      </c>
      <c r="J41" s="38" t="s">
        <v>43</v>
      </c>
      <c r="K41" s="38" t="s">
        <v>41</v>
      </c>
      <c r="L41" s="38" t="s">
        <v>967</v>
      </c>
      <c r="M41" s="38" t="s">
        <v>43</v>
      </c>
      <c r="N41" s="38" t="s">
        <v>44</v>
      </c>
      <c r="O41" s="38"/>
      <c r="P41" s="38" t="s">
        <v>43</v>
      </c>
      <c r="Q41" s="38" t="s">
        <v>43</v>
      </c>
      <c r="R41" s="38" t="s">
        <v>43</v>
      </c>
    </row>
    <row r="42" spans="1:18" ht="33.75" x14ac:dyDescent="0.15">
      <c r="A42" s="38" t="s">
        <v>378</v>
      </c>
      <c r="B42" s="38" t="s">
        <v>53</v>
      </c>
      <c r="C42" s="34" t="s">
        <v>968</v>
      </c>
      <c r="D42" s="38" t="str">
        <f>VLOOKUP($A42,[1]Sheet1!$A$2:$G$249,2,FALSE)</f>
        <v>Asia</v>
      </c>
      <c r="E42" s="38" t="s">
        <v>104</v>
      </c>
      <c r="F42" s="38"/>
      <c r="G42" s="38" t="s">
        <v>43</v>
      </c>
      <c r="H42" s="38" t="s">
        <v>43</v>
      </c>
      <c r="I42" s="38" t="s">
        <v>43</v>
      </c>
      <c r="J42" s="38" t="s">
        <v>43</v>
      </c>
      <c r="K42" s="38" t="s">
        <v>41</v>
      </c>
      <c r="L42" s="38" t="s">
        <v>377</v>
      </c>
      <c r="M42" s="38" t="s">
        <v>43</v>
      </c>
      <c r="N42" s="38" t="s">
        <v>56</v>
      </c>
      <c r="O42" s="38"/>
      <c r="P42" s="38" t="s">
        <v>43</v>
      </c>
      <c r="Q42" s="38" t="s">
        <v>43</v>
      </c>
      <c r="R42" s="38" t="s">
        <v>43</v>
      </c>
    </row>
    <row r="43" spans="1:18" ht="33.75" x14ac:dyDescent="0.15">
      <c r="A43" s="38" t="s">
        <v>383</v>
      </c>
      <c r="B43" s="38" t="s">
        <v>145</v>
      </c>
      <c r="C43" s="34" t="s">
        <v>969</v>
      </c>
      <c r="D43" s="38" t="str">
        <f>VLOOKUP($A43,[1]Sheet1!$A$2:$G$249,2,FALSE)</f>
        <v>Africa</v>
      </c>
      <c r="E43" s="38" t="s">
        <v>73</v>
      </c>
      <c r="F43" s="38" t="s">
        <v>150</v>
      </c>
      <c r="G43" s="38" t="s">
        <v>43</v>
      </c>
      <c r="H43" s="38" t="s">
        <v>43</v>
      </c>
      <c r="I43" s="38" t="s">
        <v>43</v>
      </c>
      <c r="J43" s="38" t="s">
        <v>43</v>
      </c>
      <c r="K43" s="38" t="s">
        <v>41</v>
      </c>
      <c r="L43" s="38" t="s">
        <v>382</v>
      </c>
      <c r="M43" s="38" t="s">
        <v>41</v>
      </c>
      <c r="N43" s="38" t="s">
        <v>74</v>
      </c>
      <c r="O43" s="38"/>
      <c r="P43" s="38" t="s">
        <v>43</v>
      </c>
      <c r="Q43" s="38" t="s">
        <v>43</v>
      </c>
      <c r="R43" s="38" t="s">
        <v>41</v>
      </c>
    </row>
    <row r="44" spans="1:18" ht="22.5" x14ac:dyDescent="0.15">
      <c r="A44" s="38" t="s">
        <v>389</v>
      </c>
      <c r="B44" s="38" t="s">
        <v>53</v>
      </c>
      <c r="C44" s="34" t="s">
        <v>970</v>
      </c>
      <c r="D44" s="38" t="str">
        <f>VLOOKUP($A44,[1]Sheet1!$A$2:$G$249,2,FALSE)</f>
        <v>Europe</v>
      </c>
      <c r="E44" s="38" t="s">
        <v>55</v>
      </c>
      <c r="F44" s="38"/>
      <c r="G44" s="38" t="s">
        <v>43</v>
      </c>
      <c r="H44" s="38" t="s">
        <v>43</v>
      </c>
      <c r="I44" s="38" t="s">
        <v>43</v>
      </c>
      <c r="J44" s="38" t="s">
        <v>43</v>
      </c>
      <c r="K44" s="38" t="s">
        <v>41</v>
      </c>
      <c r="L44" s="38" t="s">
        <v>388</v>
      </c>
      <c r="M44" s="38" t="s">
        <v>43</v>
      </c>
      <c r="N44" s="38" t="s">
        <v>93</v>
      </c>
      <c r="O44" s="38"/>
      <c r="P44" s="38" t="s">
        <v>43</v>
      </c>
      <c r="Q44" s="38" t="s">
        <v>43</v>
      </c>
      <c r="R44" s="38" t="s">
        <v>43</v>
      </c>
    </row>
    <row r="45" spans="1:18" ht="33.75" x14ac:dyDescent="0.15">
      <c r="A45" s="38" t="s">
        <v>393</v>
      </c>
      <c r="B45" s="38" t="s">
        <v>84</v>
      </c>
      <c r="C45" s="34" t="s">
        <v>394</v>
      </c>
      <c r="D45" s="38" t="str">
        <f>VLOOKUP($A45,[1]Sheet1!$A$2:$G$249,2,FALSE)</f>
        <v>Americas</v>
      </c>
      <c r="E45" s="38" t="s">
        <v>86</v>
      </c>
      <c r="F45" s="38" t="s">
        <v>89</v>
      </c>
      <c r="G45" s="38" t="s">
        <v>43</v>
      </c>
      <c r="H45" s="38" t="s">
        <v>43</v>
      </c>
      <c r="I45" s="38" t="s">
        <v>41</v>
      </c>
      <c r="J45" s="38" t="s">
        <v>43</v>
      </c>
      <c r="K45" s="38" t="s">
        <v>43</v>
      </c>
      <c r="L45" s="38" t="s">
        <v>392</v>
      </c>
      <c r="M45" s="38" t="s">
        <v>43</v>
      </c>
      <c r="N45" s="38" t="s">
        <v>56</v>
      </c>
      <c r="O45" s="38"/>
      <c r="P45" s="38" t="s">
        <v>43</v>
      </c>
      <c r="Q45" s="38" t="s">
        <v>43</v>
      </c>
      <c r="R45" s="38" t="s">
        <v>43</v>
      </c>
    </row>
    <row r="46" spans="1:18" ht="33.75" x14ac:dyDescent="0.15">
      <c r="A46" s="38" t="s">
        <v>396</v>
      </c>
      <c r="B46" s="38" t="s">
        <v>84</v>
      </c>
      <c r="C46" s="34" t="s">
        <v>971</v>
      </c>
      <c r="D46" s="38" t="str">
        <f>VLOOKUP($A46,[1]Sheet1!$A$2:$G$249,2,FALSE)</f>
        <v>Americas</v>
      </c>
      <c r="E46" s="38" t="s">
        <v>86</v>
      </c>
      <c r="F46" s="38" t="s">
        <v>142</v>
      </c>
      <c r="G46" s="38" t="s">
        <v>43</v>
      </c>
      <c r="H46" s="38" t="s">
        <v>43</v>
      </c>
      <c r="I46" s="38" t="s">
        <v>43</v>
      </c>
      <c r="J46" s="38" t="s">
        <v>41</v>
      </c>
      <c r="K46" s="38" t="s">
        <v>41</v>
      </c>
      <c r="L46" s="38" t="s">
        <v>972</v>
      </c>
      <c r="M46" s="38" t="s">
        <v>43</v>
      </c>
      <c r="N46" s="38" t="s">
        <v>56</v>
      </c>
      <c r="O46" s="38"/>
      <c r="P46" s="38" t="s">
        <v>43</v>
      </c>
      <c r="Q46" s="38" t="s">
        <v>43</v>
      </c>
      <c r="R46" s="38" t="s">
        <v>43</v>
      </c>
    </row>
    <row r="47" spans="1:18" ht="45" x14ac:dyDescent="0.15">
      <c r="A47" s="38" t="s">
        <v>408</v>
      </c>
      <c r="B47" s="38" t="s">
        <v>145</v>
      </c>
      <c r="C47" s="34" t="s">
        <v>975</v>
      </c>
      <c r="D47" s="38" t="str">
        <f>VLOOKUP($A47,[1]Sheet1!$A$2:$G$249,2,FALSE)</f>
        <v>Africa</v>
      </c>
      <c r="E47" s="38" t="s">
        <v>73</v>
      </c>
      <c r="F47" s="38" t="s">
        <v>150</v>
      </c>
      <c r="G47" s="38" t="s">
        <v>41</v>
      </c>
      <c r="H47" s="38" t="s">
        <v>43</v>
      </c>
      <c r="I47" s="38" t="s">
        <v>41</v>
      </c>
      <c r="J47" s="38" t="s">
        <v>43</v>
      </c>
      <c r="K47" s="38" t="s">
        <v>41</v>
      </c>
      <c r="L47" s="38" t="s">
        <v>976</v>
      </c>
      <c r="M47" s="38" t="s">
        <v>43</v>
      </c>
      <c r="N47" s="38" t="s">
        <v>44</v>
      </c>
      <c r="O47" s="38" t="s">
        <v>203</v>
      </c>
      <c r="P47" s="38" t="s">
        <v>43</v>
      </c>
      <c r="Q47" s="38" t="s">
        <v>43</v>
      </c>
      <c r="R47" s="38" t="s">
        <v>43</v>
      </c>
    </row>
    <row r="48" spans="1:18" ht="33.75" x14ac:dyDescent="0.15">
      <c r="A48" s="38" t="s">
        <v>413</v>
      </c>
      <c r="B48" s="38" t="s">
        <v>84</v>
      </c>
      <c r="C48" s="35" t="s">
        <v>414</v>
      </c>
      <c r="D48" s="38" t="str">
        <f>VLOOKUP($A48,[1]Sheet1!$A$2:$G$249,2,FALSE)</f>
        <v>Americas</v>
      </c>
      <c r="E48" s="38" t="s">
        <v>86</v>
      </c>
      <c r="F48" s="38" t="s">
        <v>100</v>
      </c>
      <c r="G48" s="38" t="s">
        <v>43</v>
      </c>
      <c r="H48" s="38" t="s">
        <v>43</v>
      </c>
      <c r="I48" s="38" t="s">
        <v>41</v>
      </c>
      <c r="J48" s="38" t="s">
        <v>43</v>
      </c>
      <c r="K48" s="38" t="s">
        <v>41</v>
      </c>
      <c r="L48" s="38" t="s">
        <v>412</v>
      </c>
      <c r="M48" s="38" t="s">
        <v>43</v>
      </c>
      <c r="N48" s="38" t="s">
        <v>93</v>
      </c>
      <c r="O48" s="38"/>
      <c r="P48" s="38" t="s">
        <v>43</v>
      </c>
      <c r="Q48" s="38" t="s">
        <v>43</v>
      </c>
      <c r="R48" s="38" t="s">
        <v>43</v>
      </c>
    </row>
    <row r="49" spans="1:18" ht="33.75" x14ac:dyDescent="0.15">
      <c r="A49" s="38" t="s">
        <v>413</v>
      </c>
      <c r="B49" s="38" t="s">
        <v>84</v>
      </c>
      <c r="C49" s="34" t="s">
        <v>977</v>
      </c>
      <c r="D49" s="38" t="str">
        <f>VLOOKUP($A49,[1]Sheet1!$A$2:$G$249,2,FALSE)</f>
        <v>Americas</v>
      </c>
      <c r="E49" s="38" t="s">
        <v>86</v>
      </c>
      <c r="F49" s="38" t="s">
        <v>100</v>
      </c>
      <c r="G49" s="38" t="s">
        <v>43</v>
      </c>
      <c r="H49" s="38" t="s">
        <v>43</v>
      </c>
      <c r="I49" s="38" t="s">
        <v>41</v>
      </c>
      <c r="J49" s="38" t="s">
        <v>43</v>
      </c>
      <c r="K49" s="38" t="s">
        <v>41</v>
      </c>
      <c r="L49" s="38" t="s">
        <v>412</v>
      </c>
      <c r="M49" s="38" t="s">
        <v>43</v>
      </c>
      <c r="N49" s="38" t="s">
        <v>93</v>
      </c>
      <c r="O49" s="38"/>
      <c r="P49" s="38" t="s">
        <v>43</v>
      </c>
      <c r="Q49" s="38" t="s">
        <v>43</v>
      </c>
      <c r="R49" s="38" t="s">
        <v>43</v>
      </c>
    </row>
    <row r="50" spans="1:18" ht="33.75" x14ac:dyDescent="0.15">
      <c r="A50" s="38" t="s">
        <v>437</v>
      </c>
      <c r="B50" s="38" t="s">
        <v>215</v>
      </c>
      <c r="C50" s="34" t="s">
        <v>982</v>
      </c>
      <c r="D50" s="38" t="str">
        <f>VLOOKUP($A50,[1]Sheet1!$A$2:$G$249,2,FALSE)</f>
        <v>Asia</v>
      </c>
      <c r="E50" s="38" t="s">
        <v>216</v>
      </c>
      <c r="F50" s="38"/>
      <c r="G50" s="38" t="s">
        <v>43</v>
      </c>
      <c r="H50" s="38" t="s">
        <v>43</v>
      </c>
      <c r="I50" s="38" t="s">
        <v>43</v>
      </c>
      <c r="J50" s="38" t="s">
        <v>43</v>
      </c>
      <c r="K50" s="38" t="s">
        <v>41</v>
      </c>
      <c r="L50" s="38" t="s">
        <v>983</v>
      </c>
      <c r="M50" s="38" t="s">
        <v>41</v>
      </c>
      <c r="N50" s="38" t="s">
        <v>56</v>
      </c>
      <c r="O50" s="38"/>
      <c r="P50" s="38" t="s">
        <v>43</v>
      </c>
      <c r="Q50" s="38" t="s">
        <v>43</v>
      </c>
      <c r="R50" s="38" t="s">
        <v>41</v>
      </c>
    </row>
    <row r="51" spans="1:18" ht="33.75" x14ac:dyDescent="0.15">
      <c r="A51" s="38" t="s">
        <v>455</v>
      </c>
      <c r="B51" s="38" t="s">
        <v>84</v>
      </c>
      <c r="C51" s="34" t="s">
        <v>986</v>
      </c>
      <c r="D51" s="38" t="str">
        <f>VLOOKUP($A51,[1]Sheet1!$A$2:$G$249,2,FALSE)</f>
        <v>Americas</v>
      </c>
      <c r="E51" s="38" t="s">
        <v>86</v>
      </c>
      <c r="F51" s="38" t="s">
        <v>89</v>
      </c>
      <c r="G51" s="38" t="s">
        <v>43</v>
      </c>
      <c r="H51" s="38" t="s">
        <v>43</v>
      </c>
      <c r="I51" s="38" t="s">
        <v>41</v>
      </c>
      <c r="J51" s="38" t="s">
        <v>43</v>
      </c>
      <c r="K51" s="38" t="s">
        <v>41</v>
      </c>
      <c r="L51" s="38" t="s">
        <v>454</v>
      </c>
      <c r="M51" s="38" t="s">
        <v>43</v>
      </c>
      <c r="N51" s="38" t="s">
        <v>56</v>
      </c>
      <c r="O51" s="38"/>
      <c r="P51" s="38" t="s">
        <v>43</v>
      </c>
      <c r="Q51" s="38" t="s">
        <v>43</v>
      </c>
      <c r="R51" s="38" t="s">
        <v>43</v>
      </c>
    </row>
    <row r="52" spans="1:18" ht="33.75" x14ac:dyDescent="0.15">
      <c r="A52" s="38" t="s">
        <v>466</v>
      </c>
      <c r="B52" s="38" t="s">
        <v>53</v>
      </c>
      <c r="C52" s="34" t="s">
        <v>989</v>
      </c>
      <c r="D52" s="38" t="str">
        <f>VLOOKUP($A52,[1]Sheet1!$A$2:$G$249,2,FALSE)</f>
        <v>Asia</v>
      </c>
      <c r="E52" s="38" t="s">
        <v>467</v>
      </c>
      <c r="F52" s="38"/>
      <c r="G52" s="38" t="s">
        <v>43</v>
      </c>
      <c r="H52" s="38" t="s">
        <v>41</v>
      </c>
      <c r="I52" s="38" t="s">
        <v>43</v>
      </c>
      <c r="J52" s="38" t="s">
        <v>43</v>
      </c>
      <c r="K52" s="38" t="s">
        <v>41</v>
      </c>
      <c r="L52" s="38" t="s">
        <v>465</v>
      </c>
      <c r="M52" s="38" t="s">
        <v>43</v>
      </c>
      <c r="N52" s="38" t="s">
        <v>56</v>
      </c>
      <c r="O52" s="38"/>
      <c r="P52" s="38" t="s">
        <v>43</v>
      </c>
      <c r="Q52" s="38" t="s">
        <v>43</v>
      </c>
      <c r="R52" s="38" t="s">
        <v>43</v>
      </c>
    </row>
    <row r="53" spans="1:18" ht="33.75" x14ac:dyDescent="0.15">
      <c r="A53" s="38" t="s">
        <v>478</v>
      </c>
      <c r="B53" s="38" t="s">
        <v>215</v>
      </c>
      <c r="C53" s="34" t="s">
        <v>479</v>
      </c>
      <c r="D53" s="38" t="str">
        <f>VLOOKUP($A53,[1]Sheet1!$A$2:$G$249,2,FALSE)</f>
        <v>Oceania</v>
      </c>
      <c r="E53" s="38" t="s">
        <v>480</v>
      </c>
      <c r="F53" s="38"/>
      <c r="G53" s="38" t="s">
        <v>41</v>
      </c>
      <c r="H53" s="38" t="s">
        <v>43</v>
      </c>
      <c r="I53" s="38" t="s">
        <v>41</v>
      </c>
      <c r="J53" s="38" t="s">
        <v>43</v>
      </c>
      <c r="K53" s="38" t="s">
        <v>43</v>
      </c>
      <c r="L53" s="38" t="s">
        <v>477</v>
      </c>
      <c r="M53" s="38" t="s">
        <v>43</v>
      </c>
      <c r="N53" s="38" t="s">
        <v>74</v>
      </c>
      <c r="O53" s="38"/>
      <c r="P53" s="38" t="s">
        <v>43</v>
      </c>
      <c r="Q53" s="38" t="s">
        <v>43</v>
      </c>
      <c r="R53" s="38" t="s">
        <v>43</v>
      </c>
    </row>
    <row r="54" spans="1:18" ht="45" x14ac:dyDescent="0.15">
      <c r="A54" s="38" t="s">
        <v>482</v>
      </c>
      <c r="B54" s="38" t="s">
        <v>53</v>
      </c>
      <c r="C54" s="34" t="s">
        <v>991</v>
      </c>
      <c r="D54" s="38" t="s">
        <v>54</v>
      </c>
      <c r="E54" s="39" t="s">
        <v>55</v>
      </c>
      <c r="F54" s="39"/>
      <c r="G54" s="39" t="s">
        <v>43</v>
      </c>
      <c r="H54" s="39" t="s">
        <v>43</v>
      </c>
      <c r="I54" s="39" t="s">
        <v>43</v>
      </c>
      <c r="J54" s="38" t="s">
        <v>43</v>
      </c>
      <c r="K54" s="39" t="s">
        <v>41</v>
      </c>
      <c r="L54" s="38" t="s">
        <v>992</v>
      </c>
      <c r="M54" s="38" t="s">
        <v>43</v>
      </c>
      <c r="N54" s="38" t="s">
        <v>56</v>
      </c>
      <c r="O54" s="38" t="s">
        <v>203</v>
      </c>
      <c r="P54" s="38" t="s">
        <v>43</v>
      </c>
      <c r="Q54" s="38" t="s">
        <v>43</v>
      </c>
      <c r="R54" s="38" t="s">
        <v>43</v>
      </c>
    </row>
    <row r="55" spans="1:18" ht="22.5" x14ac:dyDescent="0.15">
      <c r="A55" s="38" t="s">
        <v>487</v>
      </c>
      <c r="B55" s="38" t="s">
        <v>64</v>
      </c>
      <c r="C55" s="34" t="s">
        <v>488</v>
      </c>
      <c r="D55" s="38" t="str">
        <f>VLOOKUP($A55,[1]Sheet1!$A$2:$G$249,2,FALSE)</f>
        <v>Asia</v>
      </c>
      <c r="E55" s="38" t="s">
        <v>104</v>
      </c>
      <c r="F55" s="38"/>
      <c r="G55" s="38" t="s">
        <v>43</v>
      </c>
      <c r="H55" s="38" t="s">
        <v>43</v>
      </c>
      <c r="I55" s="38" t="s">
        <v>43</v>
      </c>
      <c r="J55" s="38" t="s">
        <v>43</v>
      </c>
      <c r="K55" s="38" t="s">
        <v>43</v>
      </c>
      <c r="L55" s="38" t="s">
        <v>486</v>
      </c>
      <c r="M55" s="38" t="s">
        <v>43</v>
      </c>
      <c r="N55" s="38" t="s">
        <v>93</v>
      </c>
      <c r="O55" s="38"/>
      <c r="P55" s="38" t="s">
        <v>43</v>
      </c>
      <c r="Q55" s="38" t="s">
        <v>43</v>
      </c>
      <c r="R55" s="38" t="s">
        <v>43</v>
      </c>
    </row>
    <row r="56" spans="1:18" ht="45" x14ac:dyDescent="0.15">
      <c r="A56" s="38" t="s">
        <v>490</v>
      </c>
      <c r="B56" s="38" t="s">
        <v>215</v>
      </c>
      <c r="C56" s="34" t="s">
        <v>993</v>
      </c>
      <c r="D56" s="38" t="str">
        <f>VLOOKUP($A56,[1]Sheet1!$A$2:$G$249,2,FALSE)</f>
        <v>Asia</v>
      </c>
      <c r="E56" s="38" t="s">
        <v>216</v>
      </c>
      <c r="F56" s="38"/>
      <c r="G56" s="38" t="s">
        <v>41</v>
      </c>
      <c r="H56" s="38" t="s">
        <v>41</v>
      </c>
      <c r="I56" s="38" t="s">
        <v>43</v>
      </c>
      <c r="J56" s="38" t="s">
        <v>43</v>
      </c>
      <c r="K56" s="38" t="s">
        <v>41</v>
      </c>
      <c r="L56" s="38" t="s">
        <v>489</v>
      </c>
      <c r="M56" s="38" t="s">
        <v>43</v>
      </c>
      <c r="N56" s="38" t="s">
        <v>74</v>
      </c>
      <c r="O56" s="38"/>
      <c r="P56" s="38" t="s">
        <v>43</v>
      </c>
      <c r="Q56" s="38" t="s">
        <v>43</v>
      </c>
      <c r="R56" s="38" t="s">
        <v>43</v>
      </c>
    </row>
    <row r="57" spans="1:18" ht="33.75" x14ac:dyDescent="0.15">
      <c r="A57" s="38" t="s">
        <v>502</v>
      </c>
      <c r="B57" s="38" t="s">
        <v>72</v>
      </c>
      <c r="C57" s="34" t="s">
        <v>996</v>
      </c>
      <c r="D57" s="38" t="str">
        <f>VLOOKUP($A57,[1]Sheet1!$A$2:$G$249,2,FALSE)</f>
        <v>Africa</v>
      </c>
      <c r="E57" s="38" t="s">
        <v>73</v>
      </c>
      <c r="F57" s="38" t="s">
        <v>176</v>
      </c>
      <c r="G57" s="38" t="s">
        <v>41</v>
      </c>
      <c r="H57" s="38" t="s">
        <v>41</v>
      </c>
      <c r="I57" s="38" t="s">
        <v>43</v>
      </c>
      <c r="J57" s="38" t="s">
        <v>43</v>
      </c>
      <c r="K57" s="38" t="s">
        <v>41</v>
      </c>
      <c r="L57" s="38" t="s">
        <v>997</v>
      </c>
      <c r="M57" s="38" t="s">
        <v>41</v>
      </c>
      <c r="N57" s="38" t="s">
        <v>74</v>
      </c>
      <c r="O57" s="38"/>
      <c r="P57" s="38" t="s">
        <v>43</v>
      </c>
      <c r="Q57" s="38" t="s">
        <v>43</v>
      </c>
      <c r="R57" s="38" t="s">
        <v>43</v>
      </c>
    </row>
    <row r="58" spans="1:18" ht="22.5" x14ac:dyDescent="0.15">
      <c r="A58" s="38" t="s">
        <v>508</v>
      </c>
      <c r="B58" s="38" t="s">
        <v>145</v>
      </c>
      <c r="C58" s="34" t="s">
        <v>998</v>
      </c>
      <c r="D58" s="38" t="str">
        <f>VLOOKUP($A58,[1]Sheet1!$A$2:$G$249,2,FALSE)</f>
        <v>Africa</v>
      </c>
      <c r="E58" s="38" t="s">
        <v>73</v>
      </c>
      <c r="F58" s="38" t="s">
        <v>150</v>
      </c>
      <c r="G58" s="38" t="s">
        <v>41</v>
      </c>
      <c r="H58" s="38" t="s">
        <v>43</v>
      </c>
      <c r="I58" s="38" t="s">
        <v>43</v>
      </c>
      <c r="J58" s="38" t="s">
        <v>43</v>
      </c>
      <c r="K58" s="38" t="s">
        <v>41</v>
      </c>
      <c r="L58" s="38" t="s">
        <v>507</v>
      </c>
      <c r="M58" s="38" t="s">
        <v>43</v>
      </c>
      <c r="N58" s="38" t="s">
        <v>44</v>
      </c>
      <c r="O58" s="38"/>
      <c r="P58" s="38" t="s">
        <v>43</v>
      </c>
      <c r="Q58" s="38" t="s">
        <v>43</v>
      </c>
      <c r="R58" s="38" t="s">
        <v>41</v>
      </c>
    </row>
    <row r="59" spans="1:18" ht="33.75" x14ac:dyDescent="0.15">
      <c r="A59" s="38" t="s">
        <v>531</v>
      </c>
      <c r="B59" s="38" t="s">
        <v>215</v>
      </c>
      <c r="C59" s="34" t="s">
        <v>1003</v>
      </c>
      <c r="D59" s="38" t="str">
        <f>VLOOKUP($A59,[1]Sheet1!$A$2:$G$249,2,FALSE)</f>
        <v>Asia</v>
      </c>
      <c r="E59" s="38" t="s">
        <v>216</v>
      </c>
      <c r="F59" s="38"/>
      <c r="G59" s="38" t="s">
        <v>43</v>
      </c>
      <c r="H59" s="38" t="s">
        <v>43</v>
      </c>
      <c r="I59" s="38" t="s">
        <v>43</v>
      </c>
      <c r="J59" s="38" t="s">
        <v>43</v>
      </c>
      <c r="K59" s="38" t="s">
        <v>41</v>
      </c>
      <c r="L59" s="38" t="s">
        <v>1004</v>
      </c>
      <c r="M59" s="38" t="s">
        <v>43</v>
      </c>
      <c r="N59" s="38" t="s">
        <v>56</v>
      </c>
      <c r="O59" s="38"/>
      <c r="P59" s="38" t="s">
        <v>43</v>
      </c>
      <c r="Q59" s="38" t="s">
        <v>43</v>
      </c>
      <c r="R59" s="38" t="s">
        <v>43</v>
      </c>
    </row>
    <row r="60" spans="1:18" ht="33.75" x14ac:dyDescent="0.15">
      <c r="A60" s="38" t="s">
        <v>535</v>
      </c>
      <c r="B60" s="38" t="s">
        <v>38</v>
      </c>
      <c r="C60" s="34" t="s">
        <v>1005</v>
      </c>
      <c r="D60" s="38" t="str">
        <f>VLOOKUP($A60,[1]Sheet1!$A$2:$G$249,2,FALSE)</f>
        <v>Asia</v>
      </c>
      <c r="E60" s="38" t="s">
        <v>40</v>
      </c>
      <c r="F60" s="38"/>
      <c r="G60" s="38" t="s">
        <v>43</v>
      </c>
      <c r="H60" s="38" t="s">
        <v>43</v>
      </c>
      <c r="I60" s="38" t="s">
        <v>41</v>
      </c>
      <c r="J60" s="38" t="s">
        <v>43</v>
      </c>
      <c r="K60" s="38" t="s">
        <v>41</v>
      </c>
      <c r="L60" s="38" t="s">
        <v>1006</v>
      </c>
      <c r="M60" s="38" t="s">
        <v>43</v>
      </c>
      <c r="N60" s="38" t="s">
        <v>56</v>
      </c>
      <c r="O60" s="38"/>
      <c r="P60" s="38" t="s">
        <v>43</v>
      </c>
      <c r="Q60" s="38" t="s">
        <v>43</v>
      </c>
      <c r="R60" s="38" t="s">
        <v>43</v>
      </c>
    </row>
    <row r="61" spans="1:18" ht="45" x14ac:dyDescent="0.15">
      <c r="A61" s="38" t="s">
        <v>546</v>
      </c>
      <c r="B61" s="38" t="s">
        <v>215</v>
      </c>
      <c r="C61" s="34" t="s">
        <v>547</v>
      </c>
      <c r="D61" s="38" t="str">
        <f>VLOOKUP($A61,[1]Sheet1!$A$2:$G$249,2,FALSE)</f>
        <v>Oceania</v>
      </c>
      <c r="E61" s="38" t="s">
        <v>480</v>
      </c>
      <c r="F61" s="38"/>
      <c r="G61" s="38" t="s">
        <v>43</v>
      </c>
      <c r="H61" s="38" t="s">
        <v>43</v>
      </c>
      <c r="I61" s="38" t="s">
        <v>41</v>
      </c>
      <c r="J61" s="38" t="s">
        <v>43</v>
      </c>
      <c r="K61" s="38" t="s">
        <v>43</v>
      </c>
      <c r="L61" s="38" t="s">
        <v>545</v>
      </c>
      <c r="M61" s="38" t="s">
        <v>43</v>
      </c>
      <c r="N61" s="38" t="s">
        <v>56</v>
      </c>
      <c r="O61" s="38" t="s">
        <v>203</v>
      </c>
      <c r="P61" s="38" t="s">
        <v>43</v>
      </c>
      <c r="Q61" s="38" t="s">
        <v>43</v>
      </c>
      <c r="R61" s="38" t="s">
        <v>43</v>
      </c>
    </row>
    <row r="62" spans="1:18" ht="45" x14ac:dyDescent="0.15">
      <c r="A62" s="38" t="s">
        <v>480</v>
      </c>
      <c r="B62" s="38" t="s">
        <v>215</v>
      </c>
      <c r="C62" s="34" t="s">
        <v>561</v>
      </c>
      <c r="D62" s="38" t="str">
        <f>VLOOKUP($A62,[1]Sheet1!$A$2:$G$249,2,FALSE)</f>
        <v>Oceania</v>
      </c>
      <c r="E62" s="38" t="s">
        <v>480</v>
      </c>
      <c r="F62" s="38"/>
      <c r="G62" s="38" t="s">
        <v>43</v>
      </c>
      <c r="H62" s="38" t="s">
        <v>43</v>
      </c>
      <c r="I62" s="38" t="s">
        <v>41</v>
      </c>
      <c r="J62" s="38" t="s">
        <v>43</v>
      </c>
      <c r="K62" s="38" t="s">
        <v>43</v>
      </c>
      <c r="L62" s="38" t="s">
        <v>560</v>
      </c>
      <c r="M62" s="38" t="s">
        <v>43</v>
      </c>
      <c r="N62" s="38" t="s">
        <v>74</v>
      </c>
      <c r="O62" s="38" t="s">
        <v>203</v>
      </c>
      <c r="P62" s="38" t="s">
        <v>43</v>
      </c>
      <c r="Q62" s="38" t="s">
        <v>43</v>
      </c>
      <c r="R62" s="38" t="s">
        <v>43</v>
      </c>
    </row>
    <row r="63" spans="1:18" ht="33.75" x14ac:dyDescent="0.15">
      <c r="A63" s="38" t="s">
        <v>569</v>
      </c>
      <c r="B63" s="38" t="s">
        <v>215</v>
      </c>
      <c r="C63" s="34" t="s">
        <v>1013</v>
      </c>
      <c r="D63" s="38" t="str">
        <f>VLOOKUP($A63,[1]Sheet1!$A$2:$G$249,2,FALSE)</f>
        <v>Asia</v>
      </c>
      <c r="E63" s="38" t="s">
        <v>244</v>
      </c>
      <c r="F63" s="38"/>
      <c r="G63" s="38" t="s">
        <v>43</v>
      </c>
      <c r="H63" s="38" t="s">
        <v>41</v>
      </c>
      <c r="I63" s="38" t="s">
        <v>43</v>
      </c>
      <c r="J63" s="38" t="s">
        <v>43</v>
      </c>
      <c r="K63" s="38" t="s">
        <v>41</v>
      </c>
      <c r="L63" s="38" t="s">
        <v>1014</v>
      </c>
      <c r="M63" s="38" t="s">
        <v>43</v>
      </c>
      <c r="N63" s="38" t="s">
        <v>74</v>
      </c>
      <c r="O63" s="38"/>
      <c r="P63" s="38" t="s">
        <v>43</v>
      </c>
      <c r="Q63" s="38" t="s">
        <v>43</v>
      </c>
      <c r="R63" s="38" t="s">
        <v>43</v>
      </c>
    </row>
    <row r="64" spans="1:18" ht="33.75" x14ac:dyDescent="0.15">
      <c r="A64" s="38" t="s">
        <v>574</v>
      </c>
      <c r="B64" s="38" t="s">
        <v>84</v>
      </c>
      <c r="C64" s="34" t="s">
        <v>575</v>
      </c>
      <c r="D64" s="38" t="str">
        <f>VLOOKUP($A64,[1]Sheet1!$A$2:$G$249,2,FALSE)</f>
        <v>Americas</v>
      </c>
      <c r="E64" s="38" t="s">
        <v>86</v>
      </c>
      <c r="F64" s="38" t="s">
        <v>89</v>
      </c>
      <c r="G64" s="38" t="s">
        <v>43</v>
      </c>
      <c r="H64" s="38" t="s">
        <v>43</v>
      </c>
      <c r="I64" s="38" t="s">
        <v>41</v>
      </c>
      <c r="J64" s="38" t="s">
        <v>43</v>
      </c>
      <c r="K64" s="38" t="s">
        <v>43</v>
      </c>
      <c r="L64" s="38" t="s">
        <v>573</v>
      </c>
      <c r="M64" s="38" t="s">
        <v>43</v>
      </c>
      <c r="N64" s="38" t="s">
        <v>88</v>
      </c>
      <c r="O64" s="38"/>
      <c r="P64" s="38" t="s">
        <v>43</v>
      </c>
      <c r="Q64" s="38" t="s">
        <v>43</v>
      </c>
      <c r="R64" s="38" t="s">
        <v>43</v>
      </c>
    </row>
    <row r="65" spans="1:18" ht="33.75" x14ac:dyDescent="0.15">
      <c r="A65" s="38" t="s">
        <v>577</v>
      </c>
      <c r="B65" s="38" t="s">
        <v>64</v>
      </c>
      <c r="C65" s="34" t="s">
        <v>1015</v>
      </c>
      <c r="D65" s="38" t="str">
        <f>VLOOKUP($A65,[1]Sheet1!$A$2:$G$249,2,FALSE)</f>
        <v>Africa</v>
      </c>
      <c r="E65" s="38" t="s">
        <v>66</v>
      </c>
      <c r="F65" s="38"/>
      <c r="G65" s="38" t="s">
        <v>43</v>
      </c>
      <c r="H65" s="38" t="s">
        <v>43</v>
      </c>
      <c r="I65" s="38" t="s">
        <v>43</v>
      </c>
      <c r="J65" s="38" t="s">
        <v>43</v>
      </c>
      <c r="K65" s="38" t="s">
        <v>41</v>
      </c>
      <c r="L65" s="38" t="s">
        <v>1016</v>
      </c>
      <c r="M65" s="38" t="s">
        <v>43</v>
      </c>
      <c r="N65" s="38" t="s">
        <v>74</v>
      </c>
      <c r="O65" s="38"/>
      <c r="P65" s="38" t="s">
        <v>43</v>
      </c>
      <c r="Q65" s="38" t="s">
        <v>43</v>
      </c>
      <c r="R65" s="38" t="s">
        <v>43</v>
      </c>
    </row>
    <row r="66" spans="1:18" ht="33.75" x14ac:dyDescent="0.15">
      <c r="A66" s="38" t="s">
        <v>590</v>
      </c>
      <c r="B66" s="38" t="s">
        <v>72</v>
      </c>
      <c r="C66" s="34" t="s">
        <v>1018</v>
      </c>
      <c r="D66" s="38" t="str">
        <f>VLOOKUP($A66,[1]Sheet1!$A$2:$G$249,2,FALSE)</f>
        <v>Africa</v>
      </c>
      <c r="E66" s="38" t="s">
        <v>73</v>
      </c>
      <c r="F66" s="38" t="s">
        <v>176</v>
      </c>
      <c r="G66" s="38" t="s">
        <v>43</v>
      </c>
      <c r="H66" s="38" t="s">
        <v>43</v>
      </c>
      <c r="I66" s="38" t="s">
        <v>43</v>
      </c>
      <c r="J66" s="38" t="s">
        <v>43</v>
      </c>
      <c r="K66" s="38" t="s">
        <v>41</v>
      </c>
      <c r="L66" s="38" t="s">
        <v>1019</v>
      </c>
      <c r="M66" s="38" t="s">
        <v>41</v>
      </c>
      <c r="N66" s="38" t="s">
        <v>56</v>
      </c>
      <c r="O66" s="38"/>
      <c r="P66" s="38" t="s">
        <v>43</v>
      </c>
      <c r="Q66" s="38" t="s">
        <v>43</v>
      </c>
      <c r="R66" s="38" t="s">
        <v>43</v>
      </c>
    </row>
    <row r="67" spans="1:18" ht="22.5" x14ac:dyDescent="0.15">
      <c r="A67" s="38" t="s">
        <v>596</v>
      </c>
      <c r="B67" s="38" t="s">
        <v>215</v>
      </c>
      <c r="C67" s="34" t="s">
        <v>597</v>
      </c>
      <c r="D67" s="38" t="str">
        <f>VLOOKUP($A67,[1]Sheet1!$A$2:$G$249,2,FALSE)</f>
        <v>Oceania</v>
      </c>
      <c r="E67" s="38" t="s">
        <v>480</v>
      </c>
      <c r="F67" s="38"/>
      <c r="G67" s="38" t="s">
        <v>43</v>
      </c>
      <c r="H67" s="38" t="s">
        <v>43</v>
      </c>
      <c r="I67" s="38" t="s">
        <v>41</v>
      </c>
      <c r="J67" s="38" t="s">
        <v>43</v>
      </c>
      <c r="K67" s="38" t="s">
        <v>43</v>
      </c>
      <c r="L67" s="38" t="s">
        <v>595</v>
      </c>
      <c r="M67" s="38" t="s">
        <v>43</v>
      </c>
      <c r="N67" s="38" t="s">
        <v>93</v>
      </c>
      <c r="O67" s="38"/>
      <c r="P67" s="38" t="s">
        <v>43</v>
      </c>
      <c r="Q67" s="38" t="s">
        <v>43</v>
      </c>
      <c r="R67" s="38" t="s">
        <v>43</v>
      </c>
    </row>
    <row r="68" spans="1:18" ht="33.75" x14ac:dyDescent="0.15">
      <c r="A68" s="38" t="s">
        <v>599</v>
      </c>
      <c r="B68" s="38" t="s">
        <v>38</v>
      </c>
      <c r="C68" s="34" t="s">
        <v>1020</v>
      </c>
      <c r="D68" s="38" t="str">
        <f>VLOOKUP($A68,[1]Sheet1!$A$2:$G$249,2,FALSE)</f>
        <v>Asia</v>
      </c>
      <c r="E68" s="38" t="s">
        <v>40</v>
      </c>
      <c r="F68" s="38"/>
      <c r="G68" s="38" t="s">
        <v>41</v>
      </c>
      <c r="H68" s="38" t="s">
        <v>41</v>
      </c>
      <c r="I68" s="38" t="s">
        <v>43</v>
      </c>
      <c r="J68" s="38" t="s">
        <v>43</v>
      </c>
      <c r="K68" s="38" t="s">
        <v>41</v>
      </c>
      <c r="L68" s="38" t="s">
        <v>1021</v>
      </c>
      <c r="M68" s="38" t="s">
        <v>43</v>
      </c>
      <c r="N68" s="38" t="s">
        <v>74</v>
      </c>
      <c r="O68" s="38"/>
      <c r="P68" s="38" t="s">
        <v>43</v>
      </c>
      <c r="Q68" s="38" t="s">
        <v>43</v>
      </c>
      <c r="R68" s="38" t="s">
        <v>41</v>
      </c>
    </row>
    <row r="69" spans="1:18" ht="33.75" x14ac:dyDescent="0.15">
      <c r="A69" s="38" t="s">
        <v>605</v>
      </c>
      <c r="B69" s="38" t="s">
        <v>84</v>
      </c>
      <c r="C69" s="34" t="s">
        <v>1022</v>
      </c>
      <c r="D69" s="38" t="str">
        <f>VLOOKUP($A69,[1]Sheet1!$A$2:$G$249,2,FALSE)</f>
        <v>Americas</v>
      </c>
      <c r="E69" s="38" t="s">
        <v>86</v>
      </c>
      <c r="F69" s="38" t="s">
        <v>142</v>
      </c>
      <c r="G69" s="38" t="s">
        <v>43</v>
      </c>
      <c r="H69" s="38" t="s">
        <v>43</v>
      </c>
      <c r="I69" s="38" t="s">
        <v>43</v>
      </c>
      <c r="J69" s="38" t="s">
        <v>43</v>
      </c>
      <c r="K69" s="38" t="s">
        <v>41</v>
      </c>
      <c r="L69" s="38" t="s">
        <v>604</v>
      </c>
      <c r="M69" s="38" t="s">
        <v>43</v>
      </c>
      <c r="N69" s="38" t="s">
        <v>74</v>
      </c>
      <c r="O69" s="38"/>
      <c r="P69" s="38" t="s">
        <v>43</v>
      </c>
      <c r="Q69" s="38" t="s">
        <v>43</v>
      </c>
      <c r="R69" s="38" t="s">
        <v>43</v>
      </c>
    </row>
    <row r="70" spans="1:18" ht="22.5" x14ac:dyDescent="0.15">
      <c r="A70" s="38" t="s">
        <v>622</v>
      </c>
      <c r="B70" s="38" t="s">
        <v>215</v>
      </c>
      <c r="C70" s="34" t="s">
        <v>623</v>
      </c>
      <c r="D70" s="38" t="str">
        <f>VLOOKUP($A70,[1]Sheet1!$A$2:$G$249,2,FALSE)</f>
        <v>Oceania</v>
      </c>
      <c r="E70" s="38" t="s">
        <v>270</v>
      </c>
      <c r="F70" s="38"/>
      <c r="G70" s="38" t="s">
        <v>43</v>
      </c>
      <c r="H70" s="38" t="s">
        <v>43</v>
      </c>
      <c r="I70" s="38" t="s">
        <v>41</v>
      </c>
      <c r="J70" s="38" t="s">
        <v>43</v>
      </c>
      <c r="K70" s="38" t="s">
        <v>43</v>
      </c>
      <c r="L70" s="38" t="s">
        <v>621</v>
      </c>
      <c r="M70" s="38" t="s">
        <v>43</v>
      </c>
      <c r="N70" s="38" t="s">
        <v>88</v>
      </c>
      <c r="O70" s="38"/>
      <c r="P70" s="38" t="s">
        <v>43</v>
      </c>
      <c r="Q70" s="38" t="s">
        <v>43</v>
      </c>
      <c r="R70" s="38" t="s">
        <v>43</v>
      </c>
    </row>
    <row r="71" spans="1:18" ht="33.75" x14ac:dyDescent="0.15">
      <c r="A71" s="38" t="s">
        <v>625</v>
      </c>
      <c r="B71" s="38" t="s">
        <v>53</v>
      </c>
      <c r="C71" s="34" t="s">
        <v>1027</v>
      </c>
      <c r="D71" s="38" t="str">
        <f>VLOOKUP($A71,[1]Sheet1!$A$2:$G$249,2,FALSE)</f>
        <v>Europe</v>
      </c>
      <c r="E71" s="38" t="s">
        <v>55</v>
      </c>
      <c r="F71" s="38"/>
      <c r="G71" s="38" t="s">
        <v>43</v>
      </c>
      <c r="H71" s="38" t="s">
        <v>41</v>
      </c>
      <c r="I71" s="38" t="s">
        <v>43</v>
      </c>
      <c r="J71" s="38" t="s">
        <v>43</v>
      </c>
      <c r="K71" s="38" t="s">
        <v>41</v>
      </c>
      <c r="L71" s="38" t="s">
        <v>1028</v>
      </c>
      <c r="M71" s="38" t="s">
        <v>43</v>
      </c>
      <c r="N71" s="38" t="s">
        <v>56</v>
      </c>
      <c r="O71" s="38"/>
      <c r="P71" s="38" t="s">
        <v>43</v>
      </c>
      <c r="Q71" s="38" t="s">
        <v>43</v>
      </c>
      <c r="R71" s="38" t="s">
        <v>43</v>
      </c>
    </row>
    <row r="72" spans="1:18" ht="22.5" x14ac:dyDescent="0.15">
      <c r="A72" s="38" t="s">
        <v>629</v>
      </c>
      <c r="B72" s="38" t="s">
        <v>64</v>
      </c>
      <c r="C72" s="34" t="s">
        <v>1029</v>
      </c>
      <c r="D72" s="38" t="str">
        <f>VLOOKUP($A72,[1]Sheet1!$A$2:$G$249,2,FALSE)</f>
        <v>Asia</v>
      </c>
      <c r="E72" s="38" t="s">
        <v>104</v>
      </c>
      <c r="F72" s="38"/>
      <c r="G72" s="38" t="s">
        <v>43</v>
      </c>
      <c r="H72" s="38" t="s">
        <v>43</v>
      </c>
      <c r="I72" s="38" t="s">
        <v>43</v>
      </c>
      <c r="J72" s="38" t="s">
        <v>43</v>
      </c>
      <c r="K72" s="38" t="s">
        <v>41</v>
      </c>
      <c r="L72" s="38" t="s">
        <v>628</v>
      </c>
      <c r="M72" s="38" t="s">
        <v>43</v>
      </c>
      <c r="N72" s="38" t="s">
        <v>93</v>
      </c>
      <c r="O72" s="38"/>
      <c r="P72" s="38" t="s">
        <v>43</v>
      </c>
      <c r="Q72" s="38" t="s">
        <v>43</v>
      </c>
      <c r="R72" s="38" t="s">
        <v>43</v>
      </c>
    </row>
    <row r="73" spans="1:18" ht="33.75" x14ac:dyDescent="0.15">
      <c r="A73" s="38" t="s">
        <v>639</v>
      </c>
      <c r="B73" s="38" t="s">
        <v>215</v>
      </c>
      <c r="C73" s="34" t="s">
        <v>640</v>
      </c>
      <c r="D73" s="38" t="str">
        <f>VLOOKUP($A73,[1]Sheet1!$A$2:$G$249,2,FALSE)</f>
        <v>Oceania</v>
      </c>
      <c r="E73" s="38" t="s">
        <v>480</v>
      </c>
      <c r="F73" s="38"/>
      <c r="G73" s="38" t="s">
        <v>43</v>
      </c>
      <c r="H73" s="38" t="s">
        <v>43</v>
      </c>
      <c r="I73" s="38" t="s">
        <v>41</v>
      </c>
      <c r="J73" s="38" t="s">
        <v>43</v>
      </c>
      <c r="K73" s="38" t="s">
        <v>43</v>
      </c>
      <c r="L73" s="38" t="s">
        <v>638</v>
      </c>
      <c r="M73" s="38" t="s">
        <v>43</v>
      </c>
      <c r="N73" s="38" t="s">
        <v>56</v>
      </c>
      <c r="O73" s="38"/>
      <c r="P73" s="38" t="s">
        <v>43</v>
      </c>
      <c r="Q73" s="38" t="s">
        <v>43</v>
      </c>
      <c r="R73" s="38" t="s">
        <v>43</v>
      </c>
    </row>
    <row r="74" spans="1:18" ht="45" x14ac:dyDescent="0.15">
      <c r="A74" s="38" t="s">
        <v>654</v>
      </c>
      <c r="B74" s="38" t="s">
        <v>215</v>
      </c>
      <c r="C74" s="34" t="s">
        <v>1034</v>
      </c>
      <c r="D74" s="38" t="str">
        <f>VLOOKUP($A74,[1]Sheet1!$A$2:$G$249,2,FALSE)</f>
        <v>Oceania</v>
      </c>
      <c r="E74" s="38" t="s">
        <v>362</v>
      </c>
      <c r="F74" s="38"/>
      <c r="G74" s="38" t="s">
        <v>43</v>
      </c>
      <c r="H74" s="38" t="s">
        <v>43</v>
      </c>
      <c r="I74" s="38" t="s">
        <v>41</v>
      </c>
      <c r="J74" s="38" t="s">
        <v>43</v>
      </c>
      <c r="K74" s="38" t="s">
        <v>41</v>
      </c>
      <c r="L74" s="38" t="s">
        <v>653</v>
      </c>
      <c r="M74" s="38" t="s">
        <v>41</v>
      </c>
      <c r="N74" s="38" t="s">
        <v>74</v>
      </c>
      <c r="O74" s="38" t="s">
        <v>203</v>
      </c>
      <c r="P74" s="38" t="s">
        <v>43</v>
      </c>
      <c r="Q74" s="38" t="s">
        <v>43</v>
      </c>
      <c r="R74" s="38" t="s">
        <v>41</v>
      </c>
    </row>
    <row r="75" spans="1:18" ht="33.75" x14ac:dyDescent="0.15">
      <c r="A75" s="38" t="s">
        <v>660</v>
      </c>
      <c r="B75" s="38" t="s">
        <v>84</v>
      </c>
      <c r="C75" s="34" t="s">
        <v>1035</v>
      </c>
      <c r="D75" s="38" t="str">
        <f>VLOOKUP($A75,[1]Sheet1!$A$2:$G$249,2,FALSE)</f>
        <v>Americas</v>
      </c>
      <c r="E75" s="38" t="s">
        <v>86</v>
      </c>
      <c r="F75" s="38" t="s">
        <v>100</v>
      </c>
      <c r="G75" s="38" t="s">
        <v>43</v>
      </c>
      <c r="H75" s="38" t="s">
        <v>41</v>
      </c>
      <c r="I75" s="38" t="s">
        <v>43</v>
      </c>
      <c r="J75" s="38" t="s">
        <v>43</v>
      </c>
      <c r="K75" s="38" t="s">
        <v>41</v>
      </c>
      <c r="L75" s="38" t="s">
        <v>1036</v>
      </c>
      <c r="M75" s="38" t="s">
        <v>43</v>
      </c>
      <c r="N75" s="38" t="s">
        <v>56</v>
      </c>
      <c r="O75" s="38"/>
      <c r="P75" s="38" t="s">
        <v>43</v>
      </c>
      <c r="Q75" s="38" t="s">
        <v>43</v>
      </c>
      <c r="R75" s="38" t="s">
        <v>43</v>
      </c>
    </row>
    <row r="76" spans="1:18" ht="33.75" x14ac:dyDescent="0.15">
      <c r="A76" s="38" t="s">
        <v>665</v>
      </c>
      <c r="B76" s="38" t="s">
        <v>84</v>
      </c>
      <c r="C76" s="34" t="s">
        <v>1037</v>
      </c>
      <c r="D76" s="38" t="str">
        <f>VLOOKUP($A76,[1]Sheet1!$A$2:$G$249,2,FALSE)</f>
        <v>Americas</v>
      </c>
      <c r="E76" s="38" t="s">
        <v>86</v>
      </c>
      <c r="F76" s="38" t="s">
        <v>100</v>
      </c>
      <c r="G76" s="38" t="s">
        <v>43</v>
      </c>
      <c r="H76" s="38" t="s">
        <v>43</v>
      </c>
      <c r="I76" s="38" t="s">
        <v>43</v>
      </c>
      <c r="J76" s="38" t="s">
        <v>43</v>
      </c>
      <c r="K76" s="38" t="s">
        <v>41</v>
      </c>
      <c r="L76" s="38" t="s">
        <v>664</v>
      </c>
      <c r="M76" s="38" t="s">
        <v>43</v>
      </c>
      <c r="N76" s="38" t="s">
        <v>56</v>
      </c>
      <c r="O76" s="38"/>
      <c r="P76" s="38" t="s">
        <v>43</v>
      </c>
      <c r="Q76" s="38" t="s">
        <v>43</v>
      </c>
      <c r="R76" s="38" t="s">
        <v>43</v>
      </c>
    </row>
    <row r="77" spans="1:18" ht="33.75" x14ac:dyDescent="0.15">
      <c r="A77" s="38" t="s">
        <v>671</v>
      </c>
      <c r="B77" s="38" t="s">
        <v>215</v>
      </c>
      <c r="C77" s="34" t="s">
        <v>1038</v>
      </c>
      <c r="D77" s="38" t="str">
        <f>VLOOKUP($A77,[1]Sheet1!$A$2:$G$249,2,FALSE)</f>
        <v>Asia</v>
      </c>
      <c r="E77" s="38" t="s">
        <v>216</v>
      </c>
      <c r="F77" s="38"/>
      <c r="G77" s="38" t="s">
        <v>43</v>
      </c>
      <c r="H77" s="38" t="s">
        <v>43</v>
      </c>
      <c r="I77" s="38" t="s">
        <v>43</v>
      </c>
      <c r="J77" s="38" t="s">
        <v>43</v>
      </c>
      <c r="K77" s="38" t="s">
        <v>41</v>
      </c>
      <c r="L77" s="38" t="s">
        <v>1039</v>
      </c>
      <c r="M77" s="38" t="s">
        <v>41</v>
      </c>
      <c r="N77" s="38" t="s">
        <v>74</v>
      </c>
      <c r="O77" s="38"/>
      <c r="P77" s="38" t="s">
        <v>43</v>
      </c>
      <c r="Q77" s="38" t="s">
        <v>43</v>
      </c>
      <c r="R77" s="38" t="s">
        <v>41</v>
      </c>
    </row>
    <row r="78" spans="1:18" ht="22.5" x14ac:dyDescent="0.15">
      <c r="A78" s="38" t="s">
        <v>681</v>
      </c>
      <c r="B78" s="38" t="s">
        <v>64</v>
      </c>
      <c r="C78" s="34" t="s">
        <v>682</v>
      </c>
      <c r="D78" s="38" t="str">
        <f>VLOOKUP($A78,[1]Sheet1!$A$2:$G$249,2,FALSE)</f>
        <v>Asia</v>
      </c>
      <c r="E78" s="38" t="s">
        <v>104</v>
      </c>
      <c r="F78" s="38"/>
      <c r="G78" s="38" t="s">
        <v>43</v>
      </c>
      <c r="H78" s="38" t="s">
        <v>43</v>
      </c>
      <c r="I78" s="38" t="s">
        <v>43</v>
      </c>
      <c r="J78" s="38" t="s">
        <v>43</v>
      </c>
      <c r="K78" s="38" t="s">
        <v>43</v>
      </c>
      <c r="L78" s="38" t="s">
        <v>680</v>
      </c>
      <c r="M78" s="38" t="s">
        <v>43</v>
      </c>
      <c r="N78" s="38" t="s">
        <v>93</v>
      </c>
      <c r="O78" s="38"/>
      <c r="P78" s="38" t="s">
        <v>43</v>
      </c>
      <c r="Q78" s="38" t="s">
        <v>43</v>
      </c>
      <c r="R78" s="38" t="s">
        <v>43</v>
      </c>
    </row>
    <row r="79" spans="1:18" ht="33.75" x14ac:dyDescent="0.15">
      <c r="A79" s="38" t="s">
        <v>684</v>
      </c>
      <c r="B79" s="38" t="s">
        <v>53</v>
      </c>
      <c r="C79" s="34" t="s">
        <v>1040</v>
      </c>
      <c r="D79" s="38" t="str">
        <f>VLOOKUP($A79,[1]Sheet1!$A$2:$G$249,2,FALSE)</f>
        <v>Asia</v>
      </c>
      <c r="E79" s="38" t="s">
        <v>467</v>
      </c>
      <c r="F79" s="38"/>
      <c r="G79" s="38" t="s">
        <v>43</v>
      </c>
      <c r="H79" s="38" t="s">
        <v>41</v>
      </c>
      <c r="I79" s="38" t="s">
        <v>43</v>
      </c>
      <c r="J79" s="38" t="s">
        <v>43</v>
      </c>
      <c r="K79" s="38" t="s">
        <v>41</v>
      </c>
      <c r="L79" s="38" t="s">
        <v>683</v>
      </c>
      <c r="M79" s="38" t="s">
        <v>41</v>
      </c>
      <c r="N79" s="38" t="s">
        <v>74</v>
      </c>
      <c r="O79" s="38"/>
      <c r="P79" s="38" t="s">
        <v>43</v>
      </c>
      <c r="Q79" s="38" t="s">
        <v>43</v>
      </c>
      <c r="R79" s="38" t="s">
        <v>43</v>
      </c>
    </row>
    <row r="80" spans="1:18" ht="45" x14ac:dyDescent="0.15">
      <c r="A80" s="38" t="s">
        <v>696</v>
      </c>
      <c r="B80" s="38" t="s">
        <v>53</v>
      </c>
      <c r="C80" s="34" t="s">
        <v>1042</v>
      </c>
      <c r="D80" s="38" t="str">
        <f>VLOOKUP($A80,[1]Sheet1!$A$2:$G$249,2,FALSE)</f>
        <v>Asia</v>
      </c>
      <c r="E80" s="38" t="s">
        <v>467</v>
      </c>
      <c r="F80" s="38"/>
      <c r="G80" s="38" t="s">
        <v>43</v>
      </c>
      <c r="H80" s="38" t="s">
        <v>41</v>
      </c>
      <c r="I80" s="38" t="s">
        <v>43</v>
      </c>
      <c r="J80" s="38" t="s">
        <v>43</v>
      </c>
      <c r="K80" s="38" t="s">
        <v>41</v>
      </c>
      <c r="L80" s="38" t="s">
        <v>1043</v>
      </c>
      <c r="M80" s="38" t="s">
        <v>43</v>
      </c>
      <c r="N80" s="38" t="s">
        <v>74</v>
      </c>
      <c r="O80" s="38"/>
      <c r="P80" s="38" t="s">
        <v>43</v>
      </c>
      <c r="Q80" s="38" t="s">
        <v>43</v>
      </c>
      <c r="R80" s="38" t="s">
        <v>43</v>
      </c>
    </row>
    <row r="81" spans="1:18" ht="45" x14ac:dyDescent="0.15">
      <c r="A81" s="38" t="s">
        <v>701</v>
      </c>
      <c r="B81" s="38" t="s">
        <v>53</v>
      </c>
      <c r="C81" s="34" t="s">
        <v>1044</v>
      </c>
      <c r="D81" s="38" t="str">
        <f>VLOOKUP($A81,[1]Sheet1!$A$2:$G$249,2,FALSE)</f>
        <v>Europe</v>
      </c>
      <c r="E81" s="38" t="s">
        <v>55</v>
      </c>
      <c r="F81" s="38"/>
      <c r="G81" s="38" t="s">
        <v>43</v>
      </c>
      <c r="H81" s="38" t="s">
        <v>43</v>
      </c>
      <c r="I81" s="38" t="s">
        <v>43</v>
      </c>
      <c r="J81" s="38" t="s">
        <v>43</v>
      </c>
      <c r="K81" s="38" t="s">
        <v>41</v>
      </c>
      <c r="L81" s="38" t="s">
        <v>700</v>
      </c>
      <c r="M81" s="38" t="s">
        <v>43</v>
      </c>
      <c r="N81" s="38" t="s">
        <v>56</v>
      </c>
      <c r="O81" s="38"/>
      <c r="P81" s="38" t="s">
        <v>43</v>
      </c>
      <c r="Q81" s="38" t="s">
        <v>43</v>
      </c>
      <c r="R81" s="38" t="s">
        <v>43</v>
      </c>
    </row>
    <row r="82" spans="1:18" ht="22.5" x14ac:dyDescent="0.15">
      <c r="A82" s="38" t="s">
        <v>718</v>
      </c>
      <c r="B82" s="38" t="s">
        <v>72</v>
      </c>
      <c r="C82" s="34" t="s">
        <v>1048</v>
      </c>
      <c r="D82" s="38" t="str">
        <f>VLOOKUP($A82,[1]Sheet1!$A$2:$G$249,2,FALSE)</f>
        <v>Africa</v>
      </c>
      <c r="E82" s="38" t="s">
        <v>73</v>
      </c>
      <c r="F82" s="38" t="s">
        <v>208</v>
      </c>
      <c r="G82" s="38" t="s">
        <v>41</v>
      </c>
      <c r="H82" s="38" t="s">
        <v>41</v>
      </c>
      <c r="I82" s="38" t="s">
        <v>43</v>
      </c>
      <c r="J82" s="38" t="s">
        <v>43</v>
      </c>
      <c r="K82" s="38" t="s">
        <v>41</v>
      </c>
      <c r="L82" s="38" t="s">
        <v>717</v>
      </c>
      <c r="M82" s="38" t="s">
        <v>41</v>
      </c>
      <c r="N82" s="38" t="s">
        <v>44</v>
      </c>
      <c r="O82" s="38"/>
      <c r="P82" s="38" t="s">
        <v>43</v>
      </c>
      <c r="Q82" s="38" t="s">
        <v>43</v>
      </c>
      <c r="R82" s="38" t="s">
        <v>41</v>
      </c>
    </row>
    <row r="83" spans="1:18" ht="33.75" x14ac:dyDescent="0.15">
      <c r="A83" s="38" t="s">
        <v>724</v>
      </c>
      <c r="B83" s="38" t="s">
        <v>215</v>
      </c>
      <c r="C83" s="34" t="s">
        <v>725</v>
      </c>
      <c r="D83" s="38" t="str">
        <f>VLOOKUP($A83,[1]Sheet1!$A$2:$G$249,2,FALSE)</f>
        <v>Oceania</v>
      </c>
      <c r="E83" s="38" t="s">
        <v>270</v>
      </c>
      <c r="F83" s="38"/>
      <c r="G83" s="38" t="s">
        <v>43</v>
      </c>
      <c r="H83" s="38" t="s">
        <v>43</v>
      </c>
      <c r="I83" s="38" t="s">
        <v>41</v>
      </c>
      <c r="J83" s="38" t="s">
        <v>43</v>
      </c>
      <c r="K83" s="38" t="s">
        <v>43</v>
      </c>
      <c r="L83" s="38" t="s">
        <v>723</v>
      </c>
      <c r="M83" s="38" t="s">
        <v>43</v>
      </c>
      <c r="N83" s="38" t="s">
        <v>74</v>
      </c>
      <c r="O83" s="38"/>
      <c r="P83" s="38" t="s">
        <v>43</v>
      </c>
      <c r="Q83" s="38" t="s">
        <v>43</v>
      </c>
      <c r="R83" s="38" t="s">
        <v>43</v>
      </c>
    </row>
    <row r="84" spans="1:18" ht="33.75" x14ac:dyDescent="0.15">
      <c r="A84" s="38" t="s">
        <v>727</v>
      </c>
      <c r="B84" s="38" t="s">
        <v>145</v>
      </c>
      <c r="C84" s="34" t="s">
        <v>1049</v>
      </c>
      <c r="D84" s="38" t="str">
        <f>VLOOKUP($A84,[1]Sheet1!$A$2:$G$249,2,FALSE)</f>
        <v>Africa</v>
      </c>
      <c r="E84" s="38" t="s">
        <v>73</v>
      </c>
      <c r="F84" s="38" t="s">
        <v>79</v>
      </c>
      <c r="G84" s="38" t="s">
        <v>41</v>
      </c>
      <c r="H84" s="38" t="s">
        <v>43</v>
      </c>
      <c r="I84" s="38" t="s">
        <v>41</v>
      </c>
      <c r="J84" s="38" t="s">
        <v>43</v>
      </c>
      <c r="K84" s="38" t="s">
        <v>41</v>
      </c>
      <c r="L84" s="38" t="s">
        <v>726</v>
      </c>
      <c r="M84" s="38" t="s">
        <v>43</v>
      </c>
      <c r="N84" s="38" t="s">
        <v>74</v>
      </c>
      <c r="O84" s="38"/>
      <c r="P84" s="38" t="s">
        <v>43</v>
      </c>
      <c r="Q84" s="38" t="s">
        <v>43</v>
      </c>
      <c r="R84" s="38" t="s">
        <v>43</v>
      </c>
    </row>
    <row r="85" spans="1:18" ht="22.5" x14ac:dyDescent="0.15">
      <c r="A85" s="38" t="s">
        <v>115</v>
      </c>
      <c r="B85" s="38" t="s">
        <v>64</v>
      </c>
      <c r="C85" s="35" t="s">
        <v>731</v>
      </c>
      <c r="D85" s="38" t="str">
        <f>VLOOKUP($A85,[1]Sheet1!$A$2:$G$249,2,FALSE)</f>
        <v>Asia</v>
      </c>
      <c r="E85" s="38" t="s">
        <v>104</v>
      </c>
      <c r="F85" s="38"/>
      <c r="G85" s="38" t="s">
        <v>43</v>
      </c>
      <c r="H85" s="38" t="s">
        <v>43</v>
      </c>
      <c r="I85" s="38" t="s">
        <v>43</v>
      </c>
      <c r="J85" s="38" t="s">
        <v>43</v>
      </c>
      <c r="K85" s="38" t="s">
        <v>41</v>
      </c>
      <c r="L85" s="38" t="s">
        <v>730</v>
      </c>
      <c r="M85" s="38" t="s">
        <v>43</v>
      </c>
      <c r="N85" s="38" t="s">
        <v>93</v>
      </c>
      <c r="O85" s="38"/>
      <c r="P85" s="38" t="s">
        <v>43</v>
      </c>
      <c r="Q85" s="38" t="s">
        <v>43</v>
      </c>
      <c r="R85" s="38" t="s">
        <v>43</v>
      </c>
    </row>
    <row r="86" spans="1:18" ht="22.5" x14ac:dyDescent="0.15">
      <c r="A86" s="38" t="s">
        <v>115</v>
      </c>
      <c r="B86" s="38" t="s">
        <v>64</v>
      </c>
      <c r="C86" s="34" t="s">
        <v>1050</v>
      </c>
      <c r="D86" s="38" t="str">
        <f>VLOOKUP($A86,[1]Sheet1!$A$2:$G$249,2,FALSE)</f>
        <v>Asia</v>
      </c>
      <c r="E86" s="38" t="s">
        <v>104</v>
      </c>
      <c r="F86" s="38"/>
      <c r="G86" s="38" t="s">
        <v>43</v>
      </c>
      <c r="H86" s="38" t="s">
        <v>43</v>
      </c>
      <c r="I86" s="38" t="s">
        <v>43</v>
      </c>
      <c r="J86" s="38" t="s">
        <v>43</v>
      </c>
      <c r="K86" s="38" t="s">
        <v>41</v>
      </c>
      <c r="L86" s="38" t="s">
        <v>730</v>
      </c>
      <c r="M86" s="38" t="s">
        <v>43</v>
      </c>
      <c r="N86" s="38" t="s">
        <v>93</v>
      </c>
      <c r="O86" s="38"/>
      <c r="P86" s="38" t="s">
        <v>43</v>
      </c>
      <c r="Q86" s="38" t="s">
        <v>43</v>
      </c>
      <c r="R86" s="38" t="s">
        <v>43</v>
      </c>
    </row>
    <row r="87" spans="1:18" ht="33.75" x14ac:dyDescent="0.15">
      <c r="A87" s="38" t="s">
        <v>736</v>
      </c>
      <c r="B87" s="38" t="s">
        <v>145</v>
      </c>
      <c r="C87" s="34" t="s">
        <v>1051</v>
      </c>
      <c r="D87" s="38" t="str">
        <f>VLOOKUP($A87,[1]Sheet1!$A$2:$G$249,2,FALSE)</f>
        <v>Africa</v>
      </c>
      <c r="E87" s="38" t="s">
        <v>73</v>
      </c>
      <c r="F87" s="38" t="s">
        <v>150</v>
      </c>
      <c r="G87" s="38" t="s">
        <v>41</v>
      </c>
      <c r="H87" s="38" t="s">
        <v>43</v>
      </c>
      <c r="I87" s="38" t="s">
        <v>43</v>
      </c>
      <c r="J87" s="38" t="s">
        <v>43</v>
      </c>
      <c r="K87" s="38" t="s">
        <v>41</v>
      </c>
      <c r="L87" s="38" t="s">
        <v>735</v>
      </c>
      <c r="M87" s="38" t="s">
        <v>43</v>
      </c>
      <c r="N87" s="38" t="s">
        <v>74</v>
      </c>
      <c r="O87" s="38"/>
      <c r="P87" s="38" t="s">
        <v>43</v>
      </c>
      <c r="Q87" s="38" t="s">
        <v>43</v>
      </c>
      <c r="R87" s="38" t="s">
        <v>41</v>
      </c>
    </row>
    <row r="88" spans="1:18" ht="33.75" x14ac:dyDescent="0.15">
      <c r="A88" s="38" t="s">
        <v>741</v>
      </c>
      <c r="B88" s="38" t="s">
        <v>53</v>
      </c>
      <c r="C88" s="34" t="s">
        <v>1052</v>
      </c>
      <c r="D88" s="38" t="str">
        <f>VLOOKUP($A88,[1]Sheet1!$A$2:$G$249,2,FALSE)</f>
        <v>Europe</v>
      </c>
      <c r="E88" s="38" t="s">
        <v>55</v>
      </c>
      <c r="F88" s="38"/>
      <c r="G88" s="38" t="s">
        <v>43</v>
      </c>
      <c r="H88" s="38" t="s">
        <v>43</v>
      </c>
      <c r="I88" s="38" t="s">
        <v>43</v>
      </c>
      <c r="J88" s="38" t="s">
        <v>43</v>
      </c>
      <c r="K88" s="38" t="s">
        <v>41</v>
      </c>
      <c r="L88" s="38" t="s">
        <v>740</v>
      </c>
      <c r="M88" s="38" t="s">
        <v>43</v>
      </c>
      <c r="N88" s="38" t="s">
        <v>56</v>
      </c>
      <c r="O88" s="38"/>
      <c r="P88" s="38" t="s">
        <v>43</v>
      </c>
      <c r="Q88" s="38" t="s">
        <v>43</v>
      </c>
      <c r="R88" s="38" t="s">
        <v>43</v>
      </c>
    </row>
    <row r="89" spans="1:18" ht="22.5" x14ac:dyDescent="0.15">
      <c r="A89" s="38" t="s">
        <v>746</v>
      </c>
      <c r="B89" s="38" t="s">
        <v>145</v>
      </c>
      <c r="C89" s="34" t="s">
        <v>1053</v>
      </c>
      <c r="D89" s="38" t="str">
        <f>VLOOKUP($A89,[1]Sheet1!$A$2:$G$249,2,FALSE)</f>
        <v>Africa</v>
      </c>
      <c r="E89" s="38" t="s">
        <v>73</v>
      </c>
      <c r="F89" s="38" t="s">
        <v>150</v>
      </c>
      <c r="G89" s="38" t="s">
        <v>41</v>
      </c>
      <c r="H89" s="38" t="s">
        <v>43</v>
      </c>
      <c r="I89" s="38" t="s">
        <v>43</v>
      </c>
      <c r="J89" s="38" t="s">
        <v>43</v>
      </c>
      <c r="K89" s="38" t="s">
        <v>41</v>
      </c>
      <c r="L89" s="38" t="s">
        <v>1054</v>
      </c>
      <c r="M89" s="38" t="s">
        <v>43</v>
      </c>
      <c r="N89" s="38" t="s">
        <v>44</v>
      </c>
      <c r="O89" s="38"/>
      <c r="P89" s="38" t="s">
        <v>43</v>
      </c>
      <c r="Q89" s="38" t="s">
        <v>43</v>
      </c>
      <c r="R89" s="38" t="s">
        <v>41</v>
      </c>
    </row>
    <row r="90" spans="1:18" ht="45" x14ac:dyDescent="0.15">
      <c r="A90" s="38" t="s">
        <v>752</v>
      </c>
      <c r="B90" s="38" t="s">
        <v>215</v>
      </c>
      <c r="C90" s="34" t="s">
        <v>753</v>
      </c>
      <c r="D90" s="38" t="str">
        <f>VLOOKUP($A90,[1]Sheet1!$A$2:$G$249,2,FALSE)</f>
        <v>Oceania</v>
      </c>
      <c r="E90" s="38" t="s">
        <v>362</v>
      </c>
      <c r="F90" s="38"/>
      <c r="G90" s="38" t="s">
        <v>41</v>
      </c>
      <c r="H90" s="38" t="s">
        <v>43</v>
      </c>
      <c r="I90" s="38" t="s">
        <v>41</v>
      </c>
      <c r="J90" s="38" t="s">
        <v>43</v>
      </c>
      <c r="K90" s="38" t="s">
        <v>43</v>
      </c>
      <c r="L90" s="38" t="s">
        <v>751</v>
      </c>
      <c r="M90" s="38" t="s">
        <v>43</v>
      </c>
      <c r="N90" s="38" t="s">
        <v>74</v>
      </c>
      <c r="O90" s="38" t="s">
        <v>203</v>
      </c>
      <c r="P90" s="38" t="s">
        <v>43</v>
      </c>
      <c r="Q90" s="38" t="s">
        <v>43</v>
      </c>
      <c r="R90" s="38" t="s">
        <v>43</v>
      </c>
    </row>
    <row r="91" spans="1:18" ht="33.75" x14ac:dyDescent="0.15">
      <c r="A91" s="38" t="s">
        <v>761</v>
      </c>
      <c r="B91" s="38" t="s">
        <v>72</v>
      </c>
      <c r="C91" s="34" t="s">
        <v>1056</v>
      </c>
      <c r="D91" s="38" t="str">
        <f>VLOOKUP($A91,[1]Sheet1!$A$2:$G$249,2,FALSE)</f>
        <v>Africa</v>
      </c>
      <c r="E91" s="38" t="s">
        <v>73</v>
      </c>
      <c r="F91" s="38" t="s">
        <v>176</v>
      </c>
      <c r="G91" s="38" t="s">
        <v>43</v>
      </c>
      <c r="H91" s="38" t="s">
        <v>43</v>
      </c>
      <c r="I91" s="38" t="s">
        <v>43</v>
      </c>
      <c r="J91" s="38" t="s">
        <v>43</v>
      </c>
      <c r="K91" s="38" t="s">
        <v>41</v>
      </c>
      <c r="L91" s="38" t="s">
        <v>1057</v>
      </c>
      <c r="M91" s="38" t="s">
        <v>41</v>
      </c>
      <c r="N91" s="38" t="s">
        <v>56</v>
      </c>
      <c r="O91" s="38"/>
      <c r="P91" s="38" t="s">
        <v>43</v>
      </c>
      <c r="Q91" s="38" t="s">
        <v>43</v>
      </c>
      <c r="R91" s="38" t="s">
        <v>43</v>
      </c>
    </row>
    <row r="92" spans="1:18" ht="33.75" x14ac:dyDescent="0.15">
      <c r="A92" s="38" t="s">
        <v>779</v>
      </c>
      <c r="B92" s="38" t="s">
        <v>84</v>
      </c>
      <c r="C92" s="34" t="s">
        <v>780</v>
      </c>
      <c r="D92" s="38" t="str">
        <f>VLOOKUP($A92,[1]Sheet1!$A$2:$G$249,2,FALSE)</f>
        <v>Americas</v>
      </c>
      <c r="E92" s="38" t="s">
        <v>86</v>
      </c>
      <c r="F92" s="38" t="s">
        <v>89</v>
      </c>
      <c r="G92" s="38" t="s">
        <v>43</v>
      </c>
      <c r="H92" s="38" t="s">
        <v>43</v>
      </c>
      <c r="I92" s="38" t="s">
        <v>41</v>
      </c>
      <c r="J92" s="38" t="s">
        <v>43</v>
      </c>
      <c r="K92" s="38" t="s">
        <v>43</v>
      </c>
      <c r="L92" s="38" t="s">
        <v>778</v>
      </c>
      <c r="M92" s="38" t="s">
        <v>43</v>
      </c>
      <c r="N92" s="38" t="s">
        <v>93</v>
      </c>
      <c r="O92" s="38"/>
      <c r="P92" s="38" t="s">
        <v>43</v>
      </c>
      <c r="Q92" s="38" t="s">
        <v>43</v>
      </c>
      <c r="R92" s="38" t="s">
        <v>43</v>
      </c>
    </row>
    <row r="93" spans="1:18" ht="33.75" x14ac:dyDescent="0.15">
      <c r="A93" s="38" t="s">
        <v>782</v>
      </c>
      <c r="B93" s="38" t="s">
        <v>84</v>
      </c>
      <c r="C93" s="34" t="s">
        <v>783</v>
      </c>
      <c r="D93" s="38" t="str">
        <f>VLOOKUP($A93,[1]Sheet1!$A$2:$G$249,2,FALSE)</f>
        <v>Americas</v>
      </c>
      <c r="E93" s="38" t="s">
        <v>86</v>
      </c>
      <c r="F93" s="38" t="s">
        <v>89</v>
      </c>
      <c r="G93" s="38" t="s">
        <v>43</v>
      </c>
      <c r="H93" s="38" t="s">
        <v>43</v>
      </c>
      <c r="I93" s="38" t="s">
        <v>41</v>
      </c>
      <c r="J93" s="38" t="s">
        <v>43</v>
      </c>
      <c r="K93" s="38" t="s">
        <v>43</v>
      </c>
      <c r="L93" s="38" t="s">
        <v>781</v>
      </c>
      <c r="M93" s="38" t="s">
        <v>43</v>
      </c>
      <c r="N93" s="38" t="s">
        <v>56</v>
      </c>
      <c r="O93" s="38"/>
      <c r="P93" s="38" t="s">
        <v>43</v>
      </c>
      <c r="Q93" s="38" t="s">
        <v>43</v>
      </c>
      <c r="R93" s="38" t="s">
        <v>43</v>
      </c>
    </row>
    <row r="94" spans="1:18" ht="56.25" x14ac:dyDescent="0.15">
      <c r="A94" s="38" t="s">
        <v>785</v>
      </c>
      <c r="B94" s="38" t="s">
        <v>84</v>
      </c>
      <c r="C94" s="34" t="s">
        <v>786</v>
      </c>
      <c r="D94" s="38" t="str">
        <f>VLOOKUP($A94,[1]Sheet1!$A$2:$G$249,2,FALSE)</f>
        <v>Americas</v>
      </c>
      <c r="E94" s="38" t="s">
        <v>86</v>
      </c>
      <c r="F94" s="38" t="s">
        <v>89</v>
      </c>
      <c r="G94" s="38" t="s">
        <v>43</v>
      </c>
      <c r="H94" s="38" t="s">
        <v>43</v>
      </c>
      <c r="I94" s="38" t="s">
        <v>41</v>
      </c>
      <c r="J94" s="38" t="s">
        <v>43</v>
      </c>
      <c r="K94" s="38" t="s">
        <v>43</v>
      </c>
      <c r="L94" s="38" t="s">
        <v>784</v>
      </c>
      <c r="M94" s="38" t="s">
        <v>43</v>
      </c>
      <c r="N94" s="38" t="s">
        <v>56</v>
      </c>
      <c r="O94" s="38"/>
      <c r="P94" s="38" t="s">
        <v>43</v>
      </c>
      <c r="Q94" s="38" t="s">
        <v>43</v>
      </c>
      <c r="R94" s="38" t="s">
        <v>43</v>
      </c>
    </row>
    <row r="95" spans="1:18" ht="33.75" x14ac:dyDescent="0.15">
      <c r="A95" s="38" t="s">
        <v>794</v>
      </c>
      <c r="B95" s="38" t="s">
        <v>84</v>
      </c>
      <c r="C95" s="34" t="s">
        <v>795</v>
      </c>
      <c r="D95" s="38" t="str">
        <f>VLOOKUP($A95,[1]Sheet1!$A$2:$G$249,2,FALSE)</f>
        <v>Americas</v>
      </c>
      <c r="E95" s="38" t="s">
        <v>86</v>
      </c>
      <c r="F95" s="38" t="s">
        <v>100</v>
      </c>
      <c r="G95" s="38" t="s">
        <v>43</v>
      </c>
      <c r="H95" s="38" t="s">
        <v>43</v>
      </c>
      <c r="I95" s="38" t="s">
        <v>41</v>
      </c>
      <c r="J95" s="38" t="s">
        <v>43</v>
      </c>
      <c r="K95" s="38" t="s">
        <v>43</v>
      </c>
      <c r="L95" s="38" t="s">
        <v>793</v>
      </c>
      <c r="M95" s="38" t="s">
        <v>43</v>
      </c>
      <c r="N95" s="38" t="s">
        <v>56</v>
      </c>
      <c r="O95" s="38"/>
      <c r="P95" s="38" t="s">
        <v>43</v>
      </c>
      <c r="Q95" s="38" t="s">
        <v>43</v>
      </c>
      <c r="R95" s="38" t="s">
        <v>43</v>
      </c>
    </row>
    <row r="96" spans="1:18" ht="33.75" x14ac:dyDescent="0.15">
      <c r="A96" s="38" t="s">
        <v>803</v>
      </c>
      <c r="B96" s="38" t="s">
        <v>53</v>
      </c>
      <c r="C96" s="34" t="s">
        <v>1063</v>
      </c>
      <c r="D96" s="38" t="str">
        <f>VLOOKUP($A96,[1]Sheet1!$A$2:$G$249,2,FALSE)</f>
        <v>Asia</v>
      </c>
      <c r="E96" s="38" t="s">
        <v>467</v>
      </c>
      <c r="F96" s="38"/>
      <c r="G96" s="38" t="s">
        <v>43</v>
      </c>
      <c r="H96" s="38" t="s">
        <v>41</v>
      </c>
      <c r="I96" s="38" t="s">
        <v>43</v>
      </c>
      <c r="J96" s="38" t="s">
        <v>43</v>
      </c>
      <c r="K96" s="38" t="s">
        <v>41</v>
      </c>
      <c r="L96" s="38" t="s">
        <v>1064</v>
      </c>
      <c r="M96" s="38" t="s">
        <v>43</v>
      </c>
      <c r="N96" s="38" t="s">
        <v>74</v>
      </c>
      <c r="O96" s="38"/>
      <c r="P96" s="38" t="s">
        <v>43</v>
      </c>
      <c r="Q96" s="38" t="s">
        <v>43</v>
      </c>
      <c r="R96" s="38" t="s">
        <v>43</v>
      </c>
    </row>
    <row r="97" spans="1:18" ht="33.75" x14ac:dyDescent="0.15">
      <c r="A97" s="38" t="s">
        <v>808</v>
      </c>
      <c r="B97" s="38" t="s">
        <v>215</v>
      </c>
      <c r="C97" s="34" t="s">
        <v>1065</v>
      </c>
      <c r="D97" s="38" t="str">
        <f>VLOOKUP($A97,[1]Sheet1!$A$2:$G$249,2,FALSE)</f>
        <v>Asia</v>
      </c>
      <c r="E97" s="38" t="s">
        <v>216</v>
      </c>
      <c r="F97" s="38"/>
      <c r="G97" s="38" t="s">
        <v>43</v>
      </c>
      <c r="H97" s="38" t="s">
        <v>43</v>
      </c>
      <c r="I97" s="38" t="s">
        <v>43</v>
      </c>
      <c r="J97" s="38" t="s">
        <v>43</v>
      </c>
      <c r="K97" s="38" t="s">
        <v>41</v>
      </c>
      <c r="L97" s="38" t="s">
        <v>1066</v>
      </c>
      <c r="M97" s="38" t="s">
        <v>43</v>
      </c>
      <c r="N97" s="38" t="s">
        <v>56</v>
      </c>
      <c r="O97" s="38"/>
      <c r="P97" s="38" t="s">
        <v>43</v>
      </c>
      <c r="Q97" s="38" t="s">
        <v>43</v>
      </c>
      <c r="R97" s="38" t="s">
        <v>43</v>
      </c>
    </row>
    <row r="98" spans="1:18" ht="45" x14ac:dyDescent="0.15">
      <c r="A98" s="38" t="s">
        <v>813</v>
      </c>
      <c r="B98" s="38" t="s">
        <v>215</v>
      </c>
      <c r="C98" s="34" t="s">
        <v>1067</v>
      </c>
      <c r="D98" s="38" t="str">
        <f>VLOOKUP($A98,[1]Sheet1!$A$2:$G$249,2,FALSE)</f>
        <v>Asia</v>
      </c>
      <c r="E98" s="38" t="s">
        <v>216</v>
      </c>
      <c r="F98" s="38"/>
      <c r="G98" s="38" t="s">
        <v>41</v>
      </c>
      <c r="H98" s="38" t="s">
        <v>43</v>
      </c>
      <c r="I98" s="38" t="s">
        <v>41</v>
      </c>
      <c r="J98" s="38" t="s">
        <v>43</v>
      </c>
      <c r="K98" s="38" t="s">
        <v>41</v>
      </c>
      <c r="L98" s="38" t="s">
        <v>1068</v>
      </c>
      <c r="M98" s="38" t="s">
        <v>43</v>
      </c>
      <c r="N98" s="38" t="s">
        <v>74</v>
      </c>
      <c r="O98" s="38" t="s">
        <v>203</v>
      </c>
      <c r="P98" s="38" t="s">
        <v>43</v>
      </c>
      <c r="Q98" s="38" t="s">
        <v>43</v>
      </c>
      <c r="R98" s="38" t="s">
        <v>43</v>
      </c>
    </row>
    <row r="99" spans="1:18" ht="22.5" x14ac:dyDescent="0.15">
      <c r="A99" s="38" t="s">
        <v>819</v>
      </c>
      <c r="B99" s="38" t="s">
        <v>145</v>
      </c>
      <c r="C99" s="34" t="s">
        <v>1069</v>
      </c>
      <c r="D99" s="38" t="str">
        <f>VLOOKUP($A99,[1]Sheet1!$A$2:$G$249,2,FALSE)</f>
        <v>Africa</v>
      </c>
      <c r="E99" s="38" t="s">
        <v>73</v>
      </c>
      <c r="F99" s="38" t="s">
        <v>150</v>
      </c>
      <c r="G99" s="38" t="s">
        <v>41</v>
      </c>
      <c r="H99" s="38" t="s">
        <v>43</v>
      </c>
      <c r="I99" s="38" t="s">
        <v>43</v>
      </c>
      <c r="J99" s="38" t="s">
        <v>43</v>
      </c>
      <c r="K99" s="38" t="s">
        <v>41</v>
      </c>
      <c r="L99" s="38" t="s">
        <v>818</v>
      </c>
      <c r="M99" s="38" t="s">
        <v>43</v>
      </c>
      <c r="N99" s="38" t="s">
        <v>44</v>
      </c>
      <c r="O99" s="38"/>
      <c r="P99" s="38" t="s">
        <v>43</v>
      </c>
      <c r="Q99" s="38" t="s">
        <v>43</v>
      </c>
      <c r="R99" s="38" t="s">
        <v>41</v>
      </c>
    </row>
    <row r="100" spans="1:18" ht="22.5" x14ac:dyDescent="0.15">
      <c r="A100" s="38" t="s">
        <v>825</v>
      </c>
      <c r="B100" s="38" t="s">
        <v>215</v>
      </c>
      <c r="C100" s="34" t="s">
        <v>826</v>
      </c>
      <c r="D100" s="38" t="str">
        <f>VLOOKUP($A100,[1]Sheet1!$A$2:$G$249,2,FALSE)</f>
        <v>Oceania</v>
      </c>
      <c r="E100" s="38" t="s">
        <v>270</v>
      </c>
      <c r="F100" s="38"/>
      <c r="G100" s="38" t="s">
        <v>43</v>
      </c>
      <c r="H100" s="38" t="s">
        <v>43</v>
      </c>
      <c r="I100" s="38" t="s">
        <v>43</v>
      </c>
      <c r="J100" s="38" t="s">
        <v>43</v>
      </c>
      <c r="K100" s="38" t="s">
        <v>43</v>
      </c>
      <c r="L100" s="38" t="s">
        <v>824</v>
      </c>
      <c r="M100" s="38" t="s">
        <v>43</v>
      </c>
      <c r="N100" s="38" t="s">
        <v>88</v>
      </c>
      <c r="O100" s="38"/>
      <c r="P100" s="38" t="s">
        <v>43</v>
      </c>
      <c r="Q100" s="38" t="s">
        <v>43</v>
      </c>
      <c r="R100" s="38" t="s">
        <v>43</v>
      </c>
    </row>
    <row r="101" spans="1:18" ht="33.75" x14ac:dyDescent="0.15">
      <c r="A101" s="38" t="s">
        <v>828</v>
      </c>
      <c r="B101" s="38" t="s">
        <v>215</v>
      </c>
      <c r="C101" s="34" t="s">
        <v>829</v>
      </c>
      <c r="D101" s="38" t="str">
        <f>VLOOKUP($A101,[1]Sheet1!$A$2:$G$249,2,FALSE)</f>
        <v>Oceania</v>
      </c>
      <c r="E101" s="38" t="s">
        <v>270</v>
      </c>
      <c r="F101" s="38"/>
      <c r="G101" s="38" t="s">
        <v>43</v>
      </c>
      <c r="H101" s="38" t="s">
        <v>43</v>
      </c>
      <c r="I101" s="38" t="s">
        <v>41</v>
      </c>
      <c r="J101" s="38" t="s">
        <v>43</v>
      </c>
      <c r="K101" s="38" t="s">
        <v>43</v>
      </c>
      <c r="L101" s="38" t="s">
        <v>827</v>
      </c>
      <c r="M101" s="38" t="s">
        <v>43</v>
      </c>
      <c r="N101" s="38" t="s">
        <v>56</v>
      </c>
      <c r="O101" s="38"/>
      <c r="P101" s="38" t="s">
        <v>43</v>
      </c>
      <c r="Q101" s="38" t="s">
        <v>43</v>
      </c>
      <c r="R101" s="38" t="s">
        <v>43</v>
      </c>
    </row>
    <row r="102" spans="1:18" ht="33.75" x14ac:dyDescent="0.15">
      <c r="A102" s="38" t="s">
        <v>831</v>
      </c>
      <c r="B102" s="38" t="s">
        <v>84</v>
      </c>
      <c r="C102" s="34" t="s">
        <v>832</v>
      </c>
      <c r="D102" s="38" t="str">
        <f>VLOOKUP($A102,[1]Sheet1!$A$2:$G$249,2,FALSE)</f>
        <v>Americas</v>
      </c>
      <c r="E102" s="38" t="s">
        <v>86</v>
      </c>
      <c r="F102" s="38" t="s">
        <v>89</v>
      </c>
      <c r="G102" s="38" t="s">
        <v>43</v>
      </c>
      <c r="H102" s="38" t="s">
        <v>43</v>
      </c>
      <c r="I102" s="38" t="s">
        <v>41</v>
      </c>
      <c r="J102" s="38" t="s">
        <v>43</v>
      </c>
      <c r="K102" s="38" t="s">
        <v>43</v>
      </c>
      <c r="L102" s="38" t="s">
        <v>830</v>
      </c>
      <c r="M102" s="38" t="s">
        <v>43</v>
      </c>
      <c r="N102" s="38" t="s">
        <v>93</v>
      </c>
      <c r="O102" s="38"/>
      <c r="P102" s="38" t="s">
        <v>43</v>
      </c>
      <c r="Q102" s="38" t="s">
        <v>43</v>
      </c>
      <c r="R102" s="38" t="s">
        <v>43</v>
      </c>
    </row>
    <row r="103" spans="1:18" ht="33.75" x14ac:dyDescent="0.15">
      <c r="A103" s="38" t="s">
        <v>834</v>
      </c>
      <c r="B103" s="38" t="s">
        <v>64</v>
      </c>
      <c r="C103" s="34" t="s">
        <v>1070</v>
      </c>
      <c r="D103" s="38" t="str">
        <f>VLOOKUP($A103,[1]Sheet1!$A$2:$G$249,2,FALSE)</f>
        <v>Africa</v>
      </c>
      <c r="E103" s="38" t="s">
        <v>66</v>
      </c>
      <c r="F103" s="38"/>
      <c r="G103" s="38" t="s">
        <v>43</v>
      </c>
      <c r="H103" s="38" t="s">
        <v>43</v>
      </c>
      <c r="I103" s="38" t="s">
        <v>43</v>
      </c>
      <c r="J103" s="38" t="s">
        <v>43</v>
      </c>
      <c r="K103" s="38" t="s">
        <v>41</v>
      </c>
      <c r="L103" s="38" t="s">
        <v>833</v>
      </c>
      <c r="M103" s="38" t="s">
        <v>43</v>
      </c>
      <c r="N103" s="38" t="s">
        <v>74</v>
      </c>
      <c r="O103" s="38"/>
      <c r="P103" s="38" t="s">
        <v>43</v>
      </c>
      <c r="Q103" s="38" t="s">
        <v>43</v>
      </c>
      <c r="R103" s="38" t="s">
        <v>43</v>
      </c>
    </row>
    <row r="104" spans="1:18" ht="33.75" x14ac:dyDescent="0.15">
      <c r="A104" s="38" t="s">
        <v>845</v>
      </c>
      <c r="B104" s="38" t="s">
        <v>53</v>
      </c>
      <c r="C104" s="34" t="s">
        <v>1072</v>
      </c>
      <c r="D104" s="38" t="str">
        <f>VLOOKUP($A104,[1]Sheet1!$A$2:$G$249,2,FALSE)</f>
        <v>Asia</v>
      </c>
      <c r="E104" s="38" t="s">
        <v>467</v>
      </c>
      <c r="F104" s="38"/>
      <c r="G104" s="38" t="s">
        <v>43</v>
      </c>
      <c r="H104" s="38" t="s">
        <v>41</v>
      </c>
      <c r="I104" s="38" t="s">
        <v>43</v>
      </c>
      <c r="J104" s="38" t="s">
        <v>43</v>
      </c>
      <c r="K104" s="38" t="s">
        <v>41</v>
      </c>
      <c r="L104" s="38" t="s">
        <v>1073</v>
      </c>
      <c r="M104" s="38" t="s">
        <v>43</v>
      </c>
      <c r="N104" s="38" t="s">
        <v>56</v>
      </c>
      <c r="O104" s="38"/>
      <c r="P104" s="38" t="s">
        <v>43</v>
      </c>
      <c r="Q104" s="38" t="s">
        <v>43</v>
      </c>
      <c r="R104" s="38" t="s">
        <v>43</v>
      </c>
    </row>
    <row r="105" spans="1:18" ht="45" x14ac:dyDescent="0.15">
      <c r="A105" s="38" t="s">
        <v>849</v>
      </c>
      <c r="B105" s="38" t="s">
        <v>84</v>
      </c>
      <c r="C105" s="34" t="s">
        <v>850</v>
      </c>
      <c r="D105" s="38" t="str">
        <f>VLOOKUP($A105,[1]Sheet1!$A$2:$G$249,2,FALSE)</f>
        <v>Americas</v>
      </c>
      <c r="E105" s="38" t="s">
        <v>86</v>
      </c>
      <c r="F105" s="38" t="s">
        <v>89</v>
      </c>
      <c r="G105" s="38" t="s">
        <v>43</v>
      </c>
      <c r="H105" s="38" t="s">
        <v>43</v>
      </c>
      <c r="I105" s="38" t="s">
        <v>43</v>
      </c>
      <c r="J105" s="38" t="s">
        <v>43</v>
      </c>
      <c r="K105" s="38" t="s">
        <v>43</v>
      </c>
      <c r="L105" s="38" t="s">
        <v>848</v>
      </c>
      <c r="M105" s="38" t="s">
        <v>43</v>
      </c>
      <c r="N105" s="38" t="s">
        <v>93</v>
      </c>
      <c r="O105" s="38"/>
      <c r="P105" s="38" t="s">
        <v>43</v>
      </c>
      <c r="Q105" s="38" t="s">
        <v>43</v>
      </c>
      <c r="R105" s="38" t="s">
        <v>43</v>
      </c>
    </row>
    <row r="106" spans="1:18" ht="45" x14ac:dyDescent="0.15">
      <c r="A106" s="38" t="s">
        <v>852</v>
      </c>
      <c r="B106" s="38" t="s">
        <v>215</v>
      </c>
      <c r="C106" s="34" t="s">
        <v>853</v>
      </c>
      <c r="D106" s="38" t="str">
        <f>VLOOKUP($A106,[1]Sheet1!$A$2:$G$249,2,FALSE)</f>
        <v>Oceania</v>
      </c>
      <c r="E106" s="38" t="s">
        <v>270</v>
      </c>
      <c r="F106" s="38"/>
      <c r="G106" s="38" t="s">
        <v>41</v>
      </c>
      <c r="H106" s="38" t="s">
        <v>43</v>
      </c>
      <c r="I106" s="38" t="s">
        <v>41</v>
      </c>
      <c r="J106" s="38" t="s">
        <v>43</v>
      </c>
      <c r="K106" s="38" t="s">
        <v>43</v>
      </c>
      <c r="L106" s="38" t="s">
        <v>851</v>
      </c>
      <c r="M106" s="38" t="s">
        <v>43</v>
      </c>
      <c r="N106" s="38" t="s">
        <v>56</v>
      </c>
      <c r="O106" s="38" t="s">
        <v>203</v>
      </c>
      <c r="P106" s="38" t="s">
        <v>43</v>
      </c>
      <c r="Q106" s="38" t="s">
        <v>43</v>
      </c>
      <c r="R106" s="38" t="s">
        <v>43</v>
      </c>
    </row>
    <row r="107" spans="1:18" ht="22.5" x14ac:dyDescent="0.15">
      <c r="A107" s="38" t="s">
        <v>855</v>
      </c>
      <c r="B107" s="38" t="s">
        <v>64</v>
      </c>
      <c r="C107" s="34" t="s">
        <v>856</v>
      </c>
      <c r="D107" s="38" t="str">
        <f>VLOOKUP($A107,[1]Sheet1!$A$2:$G$249,2,FALSE)</f>
        <v>Asia</v>
      </c>
      <c r="E107" s="38" t="s">
        <v>104</v>
      </c>
      <c r="F107" s="38"/>
      <c r="G107" s="38" t="s">
        <v>43</v>
      </c>
      <c r="H107" s="38" t="s">
        <v>43</v>
      </c>
      <c r="I107" s="38" t="s">
        <v>43</v>
      </c>
      <c r="J107" s="38" t="s">
        <v>43</v>
      </c>
      <c r="K107" s="38" t="s">
        <v>43</v>
      </c>
      <c r="L107" s="38" t="s">
        <v>854</v>
      </c>
      <c r="M107" s="38" t="s">
        <v>43</v>
      </c>
      <c r="N107" s="38" t="s">
        <v>93</v>
      </c>
      <c r="O107" s="38"/>
      <c r="P107" s="38" t="s">
        <v>43</v>
      </c>
      <c r="Q107" s="38" t="s">
        <v>43</v>
      </c>
      <c r="R107" s="38" t="s">
        <v>43</v>
      </c>
    </row>
    <row r="108" spans="1:18" ht="33.75" x14ac:dyDescent="0.15">
      <c r="A108" s="38" t="s">
        <v>869</v>
      </c>
      <c r="B108" s="38" t="s">
        <v>72</v>
      </c>
      <c r="C108" s="34" t="s">
        <v>1077</v>
      </c>
      <c r="D108" s="38" t="str">
        <f>VLOOKUP($A108,[1]Sheet1!$A$2:$G$249,2,FALSE)</f>
        <v>Africa</v>
      </c>
      <c r="E108" s="38" t="s">
        <v>73</v>
      </c>
      <c r="F108" s="38" t="s">
        <v>208</v>
      </c>
      <c r="G108" s="38" t="s">
        <v>41</v>
      </c>
      <c r="H108" s="38" t="s">
        <v>43</v>
      </c>
      <c r="I108" s="38" t="s">
        <v>43</v>
      </c>
      <c r="J108" s="38" t="s">
        <v>43</v>
      </c>
      <c r="K108" s="38" t="s">
        <v>41</v>
      </c>
      <c r="L108" s="38" t="s">
        <v>1078</v>
      </c>
      <c r="M108" s="38" t="s">
        <v>41</v>
      </c>
      <c r="N108" s="38" t="s">
        <v>74</v>
      </c>
      <c r="O108" s="38"/>
      <c r="P108" s="38" t="s">
        <v>43</v>
      </c>
      <c r="Q108" s="38" t="s">
        <v>43</v>
      </c>
      <c r="R108" s="38" t="s">
        <v>41</v>
      </c>
    </row>
    <row r="109" spans="1:18" ht="33.75" x14ac:dyDescent="0.15">
      <c r="A109" s="38" t="s">
        <v>874</v>
      </c>
      <c r="B109" s="38" t="s">
        <v>84</v>
      </c>
      <c r="C109" s="34" t="s">
        <v>1079</v>
      </c>
      <c r="D109" s="38" t="str">
        <f>VLOOKUP($A109,[1]Sheet1!$A$2:$G$249,2,FALSE)</f>
        <v>Americas</v>
      </c>
      <c r="E109" s="38" t="s">
        <v>86</v>
      </c>
      <c r="F109" s="38" t="s">
        <v>100</v>
      </c>
      <c r="G109" s="38" t="s">
        <v>43</v>
      </c>
      <c r="H109" s="38" t="s">
        <v>43</v>
      </c>
      <c r="I109" s="38" t="s">
        <v>43</v>
      </c>
      <c r="J109" s="38" t="s">
        <v>43</v>
      </c>
      <c r="K109" s="38" t="s">
        <v>41</v>
      </c>
      <c r="L109" s="38" t="s">
        <v>1080</v>
      </c>
      <c r="M109" s="38" t="s">
        <v>43</v>
      </c>
      <c r="N109" s="38" t="s">
        <v>93</v>
      </c>
      <c r="O109" s="38"/>
      <c r="P109" s="38" t="s">
        <v>43</v>
      </c>
      <c r="Q109" s="38" t="s">
        <v>43</v>
      </c>
      <c r="R109" s="38" t="s">
        <v>43</v>
      </c>
    </row>
    <row r="110" spans="1:18" ht="33.75" x14ac:dyDescent="0.15">
      <c r="A110" s="38" t="s">
        <v>878</v>
      </c>
      <c r="B110" s="38" t="s">
        <v>215</v>
      </c>
      <c r="C110" s="34" t="s">
        <v>1081</v>
      </c>
      <c r="D110" s="38" t="str">
        <f>VLOOKUP($A110,[1]Sheet1!$A$2:$G$249,2,FALSE)</f>
        <v>Oceania</v>
      </c>
      <c r="E110" s="38" t="s">
        <v>362</v>
      </c>
      <c r="F110" s="38"/>
      <c r="G110" s="38" t="s">
        <v>43</v>
      </c>
      <c r="H110" s="38" t="s">
        <v>43</v>
      </c>
      <c r="I110" s="38" t="s">
        <v>41</v>
      </c>
      <c r="J110" s="38" t="s">
        <v>43</v>
      </c>
      <c r="K110" s="38" t="s">
        <v>43</v>
      </c>
      <c r="L110" s="38" t="s">
        <v>877</v>
      </c>
      <c r="M110" s="38" t="s">
        <v>43</v>
      </c>
      <c r="N110" s="38" t="s">
        <v>74</v>
      </c>
      <c r="O110" s="38"/>
      <c r="P110" s="38" t="s">
        <v>43</v>
      </c>
      <c r="Q110" s="38" t="s">
        <v>43</v>
      </c>
      <c r="R110" s="38" t="s">
        <v>43</v>
      </c>
    </row>
    <row r="111" spans="1:18" ht="33.75" x14ac:dyDescent="0.15">
      <c r="A111" s="38" t="s">
        <v>886</v>
      </c>
      <c r="B111" s="38" t="s">
        <v>215</v>
      </c>
      <c r="C111" s="34" t="s">
        <v>1084</v>
      </c>
      <c r="D111" s="38" t="str">
        <f>VLOOKUP($A111,[1]Sheet1!$A$2:$G$249,2,FALSE)</f>
        <v>Asia</v>
      </c>
      <c r="E111" s="38" t="s">
        <v>216</v>
      </c>
      <c r="F111" s="38"/>
      <c r="G111" s="38" t="s">
        <v>43</v>
      </c>
      <c r="H111" s="38" t="s">
        <v>43</v>
      </c>
      <c r="I111" s="38" t="s">
        <v>43</v>
      </c>
      <c r="J111" s="38" t="s">
        <v>43</v>
      </c>
      <c r="K111" s="38" t="s">
        <v>41</v>
      </c>
      <c r="L111" s="38" t="s">
        <v>1085</v>
      </c>
      <c r="M111" s="38" t="s">
        <v>43</v>
      </c>
      <c r="N111" s="38" t="s">
        <v>74</v>
      </c>
      <c r="O111" s="38"/>
      <c r="P111" s="38" t="s">
        <v>43</v>
      </c>
      <c r="Q111" s="38" t="s">
        <v>43</v>
      </c>
      <c r="R111" s="38" t="s">
        <v>43</v>
      </c>
    </row>
    <row r="112" spans="1:18" ht="33.75" x14ac:dyDescent="0.15">
      <c r="A112" s="38" t="s">
        <v>898</v>
      </c>
      <c r="B112" s="38" t="s">
        <v>72</v>
      </c>
      <c r="C112" s="34" t="s">
        <v>1087</v>
      </c>
      <c r="D112" s="38" t="str">
        <f>VLOOKUP($A112,[1]Sheet1!$A$2:$G$249,2,FALSE)</f>
        <v>Africa</v>
      </c>
      <c r="E112" s="38" t="s">
        <v>73</v>
      </c>
      <c r="F112" s="38" t="s">
        <v>208</v>
      </c>
      <c r="G112" s="38" t="s">
        <v>41</v>
      </c>
      <c r="H112" s="38" t="s">
        <v>41</v>
      </c>
      <c r="I112" s="38" t="s">
        <v>43</v>
      </c>
      <c r="J112" s="38" t="s">
        <v>43</v>
      </c>
      <c r="K112" s="38" t="s">
        <v>41</v>
      </c>
      <c r="L112" s="38" t="s">
        <v>1088</v>
      </c>
      <c r="M112" s="38" t="s">
        <v>41</v>
      </c>
      <c r="N112" s="38" t="s">
        <v>74</v>
      </c>
      <c r="O112" s="38"/>
      <c r="P112" s="38" t="s">
        <v>43</v>
      </c>
      <c r="Q112" s="38" t="s">
        <v>43</v>
      </c>
      <c r="R112" s="38" t="s">
        <v>41</v>
      </c>
    </row>
    <row r="113" spans="1:18" ht="22.5" x14ac:dyDescent="0.15">
      <c r="A113" s="38" t="s">
        <v>36</v>
      </c>
      <c r="B113" s="38" t="s">
        <v>38</v>
      </c>
      <c r="C113" s="34" t="s">
        <v>37</v>
      </c>
      <c r="D113" s="38" t="str">
        <f>VLOOKUP($A113,[1]Sheet1!$A$2:$G$249,2,FALSE)</f>
        <v>Asia</v>
      </c>
      <c r="E113" s="38" t="s">
        <v>40</v>
      </c>
      <c r="F113" s="38"/>
      <c r="G113" s="38" t="s">
        <v>41</v>
      </c>
      <c r="H113" s="38" t="s">
        <v>41</v>
      </c>
      <c r="I113" s="38" t="s">
        <v>43</v>
      </c>
      <c r="J113" s="38" t="s">
        <v>41</v>
      </c>
      <c r="K113" s="38" t="s">
        <v>41</v>
      </c>
      <c r="L113" s="38" t="s">
        <v>35</v>
      </c>
      <c r="M113" s="38" t="s">
        <v>43</v>
      </c>
      <c r="N113" s="38" t="s">
        <v>44</v>
      </c>
      <c r="O113" s="38" t="s">
        <v>45</v>
      </c>
      <c r="P113" s="38" t="s">
        <v>41</v>
      </c>
      <c r="Q113" s="38" t="s">
        <v>41</v>
      </c>
      <c r="R113" s="38" t="s">
        <v>41</v>
      </c>
    </row>
    <row r="114" spans="1:18" ht="33.75" x14ac:dyDescent="0.15">
      <c r="A114" s="38" t="s">
        <v>71</v>
      </c>
      <c r="B114" s="38" t="s">
        <v>72</v>
      </c>
      <c r="C114" s="34" t="s">
        <v>911</v>
      </c>
      <c r="D114" s="38" t="str">
        <f>VLOOKUP($A114,[1]Sheet1!$A$2:$G$249,2,FALSE)</f>
        <v>Africa</v>
      </c>
      <c r="E114" s="38" t="s">
        <v>73</v>
      </c>
      <c r="F114" s="38" t="s">
        <v>79</v>
      </c>
      <c r="G114" s="38" t="s">
        <v>41</v>
      </c>
      <c r="H114" s="38" t="s">
        <v>43</v>
      </c>
      <c r="I114" s="38" t="s">
        <v>43</v>
      </c>
      <c r="J114" s="38" t="s">
        <v>43</v>
      </c>
      <c r="K114" s="38" t="s">
        <v>41</v>
      </c>
      <c r="L114" s="38" t="s">
        <v>912</v>
      </c>
      <c r="M114" s="38" t="s">
        <v>41</v>
      </c>
      <c r="N114" s="38" t="s">
        <v>74</v>
      </c>
      <c r="O114" s="38"/>
      <c r="P114" s="38" t="s">
        <v>41</v>
      </c>
      <c r="Q114" s="38" t="s">
        <v>43</v>
      </c>
      <c r="R114" s="38" t="s">
        <v>41</v>
      </c>
    </row>
    <row r="115" spans="1:18" ht="33.75" x14ac:dyDescent="0.15">
      <c r="A115" s="38" t="s">
        <v>102</v>
      </c>
      <c r="B115" s="38" t="s">
        <v>53</v>
      </c>
      <c r="C115" s="34" t="s">
        <v>103</v>
      </c>
      <c r="D115" s="38" t="str">
        <f>VLOOKUP($A115,[1]Sheet1!$A$2:$G$249,2,FALSE)</f>
        <v>Asia</v>
      </c>
      <c r="E115" s="38" t="s">
        <v>104</v>
      </c>
      <c r="F115" s="38"/>
      <c r="G115" s="38" t="s">
        <v>43</v>
      </c>
      <c r="H115" s="38" t="s">
        <v>41</v>
      </c>
      <c r="I115" s="38" t="s">
        <v>43</v>
      </c>
      <c r="J115" s="38" t="s">
        <v>43</v>
      </c>
      <c r="K115" s="38" t="s">
        <v>41</v>
      </c>
      <c r="L115" s="38" t="s">
        <v>101</v>
      </c>
      <c r="M115" s="38" t="s">
        <v>43</v>
      </c>
      <c r="N115" s="38" t="s">
        <v>56</v>
      </c>
      <c r="O115" s="38"/>
      <c r="P115" s="38" t="s">
        <v>41</v>
      </c>
      <c r="Q115" s="38" t="s">
        <v>43</v>
      </c>
      <c r="R115" s="38" t="s">
        <v>43</v>
      </c>
    </row>
    <row r="116" spans="1:18" ht="33.75" x14ac:dyDescent="0.15">
      <c r="A116" s="38" t="s">
        <v>119</v>
      </c>
      <c r="B116" s="38" t="s">
        <v>38</v>
      </c>
      <c r="C116" s="34" t="s">
        <v>914</v>
      </c>
      <c r="D116" s="38" t="str">
        <f>VLOOKUP($A116,[1]Sheet1!$A$2:$G$249,2,FALSE)</f>
        <v>Asia</v>
      </c>
      <c r="E116" s="38" t="s">
        <v>40</v>
      </c>
      <c r="F116" s="38"/>
      <c r="G116" s="38" t="s">
        <v>41</v>
      </c>
      <c r="H116" s="38" t="s">
        <v>43</v>
      </c>
      <c r="I116" s="38" t="s">
        <v>43</v>
      </c>
      <c r="J116" s="38" t="s">
        <v>43</v>
      </c>
      <c r="K116" s="38" t="s">
        <v>41</v>
      </c>
      <c r="L116" s="38" t="s">
        <v>915</v>
      </c>
      <c r="M116" s="38" t="s">
        <v>41</v>
      </c>
      <c r="N116" s="38" t="s">
        <v>74</v>
      </c>
      <c r="O116" s="38"/>
      <c r="P116" s="38" t="s">
        <v>41</v>
      </c>
      <c r="Q116" s="38" t="s">
        <v>43</v>
      </c>
      <c r="R116" s="38" t="s">
        <v>41</v>
      </c>
    </row>
    <row r="117" spans="1:18" ht="33.75" x14ac:dyDescent="0.15">
      <c r="A117" s="38" t="s">
        <v>137</v>
      </c>
      <c r="B117" s="38" t="s">
        <v>84</v>
      </c>
      <c r="C117" s="34" t="s">
        <v>919</v>
      </c>
      <c r="D117" s="38" t="str">
        <f>VLOOKUP($A117,[1]Sheet1!$A$2:$G$249,2,FALSE)</f>
        <v>Americas</v>
      </c>
      <c r="E117" s="38" t="s">
        <v>86</v>
      </c>
      <c r="F117" s="38" t="s">
        <v>142</v>
      </c>
      <c r="G117" s="38" t="s">
        <v>43</v>
      </c>
      <c r="H117" s="38" t="s">
        <v>43</v>
      </c>
      <c r="I117" s="38" t="s">
        <v>41</v>
      </c>
      <c r="J117" s="38" t="s">
        <v>43</v>
      </c>
      <c r="K117" s="38" t="s">
        <v>41</v>
      </c>
      <c r="L117" s="38" t="s">
        <v>920</v>
      </c>
      <c r="M117" s="38" t="s">
        <v>43</v>
      </c>
      <c r="N117" s="38" t="s">
        <v>56</v>
      </c>
      <c r="O117" s="38"/>
      <c r="P117" s="38" t="s">
        <v>41</v>
      </c>
      <c r="Q117" s="38" t="s">
        <v>43</v>
      </c>
      <c r="R117" s="38" t="s">
        <v>43</v>
      </c>
    </row>
    <row r="118" spans="1:18" ht="33.75" x14ac:dyDescent="0.15">
      <c r="A118" s="38" t="s">
        <v>188</v>
      </c>
      <c r="B118" s="38" t="s">
        <v>53</v>
      </c>
      <c r="C118" s="34" t="s">
        <v>189</v>
      </c>
      <c r="D118" s="38" t="str">
        <f>VLOOKUP($A118,[1]Sheet1!$A$2:$G$249,2,FALSE)</f>
        <v>Europe</v>
      </c>
      <c r="E118" s="38" t="s">
        <v>132</v>
      </c>
      <c r="F118" s="38"/>
      <c r="G118" s="38" t="s">
        <v>43</v>
      </c>
      <c r="H118" s="38" t="s">
        <v>43</v>
      </c>
      <c r="I118" s="38" t="s">
        <v>43</v>
      </c>
      <c r="J118" s="38" t="s">
        <v>43</v>
      </c>
      <c r="K118" s="38" t="s">
        <v>41</v>
      </c>
      <c r="L118" s="38" t="s">
        <v>925</v>
      </c>
      <c r="M118" s="38" t="s">
        <v>43</v>
      </c>
      <c r="N118" s="38" t="s">
        <v>56</v>
      </c>
      <c r="O118" s="38"/>
      <c r="P118" s="38" t="s">
        <v>41</v>
      </c>
      <c r="Q118" s="38" t="s">
        <v>43</v>
      </c>
      <c r="R118" s="38" t="s">
        <v>43</v>
      </c>
    </row>
    <row r="119" spans="1:18" ht="22.5" x14ac:dyDescent="0.15">
      <c r="A119" s="38" t="s">
        <v>195</v>
      </c>
      <c r="B119" s="38" t="s">
        <v>145</v>
      </c>
      <c r="C119" s="34" t="s">
        <v>926</v>
      </c>
      <c r="D119" s="38" t="str">
        <f>VLOOKUP($A119,[1]Sheet1!$A$2:$G$249,2,FALSE)</f>
        <v>Africa</v>
      </c>
      <c r="E119" s="38" t="s">
        <v>73</v>
      </c>
      <c r="F119" s="38" t="s">
        <v>150</v>
      </c>
      <c r="G119" s="38" t="s">
        <v>41</v>
      </c>
      <c r="H119" s="38" t="s">
        <v>41</v>
      </c>
      <c r="I119" s="38" t="s">
        <v>43</v>
      </c>
      <c r="J119" s="38" t="s">
        <v>41</v>
      </c>
      <c r="K119" s="38" t="s">
        <v>41</v>
      </c>
      <c r="L119" s="38" t="s">
        <v>927</v>
      </c>
      <c r="M119" s="38" t="s">
        <v>43</v>
      </c>
      <c r="N119" s="38" t="s">
        <v>44</v>
      </c>
      <c r="O119" s="38" t="s">
        <v>45</v>
      </c>
      <c r="P119" s="38" t="s">
        <v>41</v>
      </c>
      <c r="Q119" s="38" t="s">
        <v>41</v>
      </c>
      <c r="R119" s="38" t="s">
        <v>41</v>
      </c>
    </row>
    <row r="120" spans="1:18" ht="33.75" x14ac:dyDescent="0.15">
      <c r="A120" s="38" t="s">
        <v>222</v>
      </c>
      <c r="B120" s="38" t="s">
        <v>145</v>
      </c>
      <c r="C120" s="34" t="s">
        <v>223</v>
      </c>
      <c r="D120" s="38" t="str">
        <f>VLOOKUP($A120,[1]Sheet1!$A$2:$G$249,2,FALSE)</f>
        <v>Africa</v>
      </c>
      <c r="E120" s="38" t="s">
        <v>73</v>
      </c>
      <c r="F120" s="38" t="s">
        <v>79</v>
      </c>
      <c r="G120" s="38" t="s">
        <v>41</v>
      </c>
      <c r="H120" s="38" t="s">
        <v>41</v>
      </c>
      <c r="I120" s="38" t="s">
        <v>43</v>
      </c>
      <c r="J120" s="38" t="s">
        <v>41</v>
      </c>
      <c r="K120" s="38" t="s">
        <v>41</v>
      </c>
      <c r="L120" s="38" t="s">
        <v>932</v>
      </c>
      <c r="M120" s="38" t="s">
        <v>43</v>
      </c>
      <c r="N120" s="38" t="s">
        <v>44</v>
      </c>
      <c r="O120" s="38" t="s">
        <v>45</v>
      </c>
      <c r="P120" s="38" t="s">
        <v>41</v>
      </c>
      <c r="Q120" s="38" t="s">
        <v>41</v>
      </c>
      <c r="R120" s="38" t="s">
        <v>41</v>
      </c>
    </row>
    <row r="121" spans="1:18" ht="45" x14ac:dyDescent="0.15">
      <c r="A121" s="38" t="s">
        <v>229</v>
      </c>
      <c r="B121" s="38" t="s">
        <v>145</v>
      </c>
      <c r="C121" s="34" t="s">
        <v>230</v>
      </c>
      <c r="D121" s="38" t="str">
        <f>VLOOKUP($A121,[1]Sheet1!$A$2:$G$249,2,FALSE)</f>
        <v>Africa</v>
      </c>
      <c r="E121" s="38" t="s">
        <v>73</v>
      </c>
      <c r="F121" s="38" t="s">
        <v>79</v>
      </c>
      <c r="G121" s="38" t="s">
        <v>41</v>
      </c>
      <c r="H121" s="38" t="s">
        <v>41</v>
      </c>
      <c r="I121" s="38" t="s">
        <v>43</v>
      </c>
      <c r="J121" s="38" t="s">
        <v>41</v>
      </c>
      <c r="K121" s="38" t="s">
        <v>41</v>
      </c>
      <c r="L121" s="38" t="s">
        <v>933</v>
      </c>
      <c r="M121" s="38" t="s">
        <v>41</v>
      </c>
      <c r="N121" s="38" t="s">
        <v>44</v>
      </c>
      <c r="O121" s="38" t="s">
        <v>203</v>
      </c>
      <c r="P121" s="38" t="s">
        <v>41</v>
      </c>
      <c r="Q121" s="38" t="s">
        <v>43</v>
      </c>
      <c r="R121" s="38" t="s">
        <v>41</v>
      </c>
    </row>
    <row r="122" spans="1:18" ht="33.75" x14ac:dyDescent="0.15">
      <c r="A122" s="38" t="s">
        <v>273</v>
      </c>
      <c r="B122" s="38" t="s">
        <v>84</v>
      </c>
      <c r="C122" s="34" t="s">
        <v>938</v>
      </c>
      <c r="D122" s="38" t="str">
        <f>VLOOKUP($A122,[1]Sheet1!$A$2:$G$249,2,FALSE)</f>
        <v>Americas</v>
      </c>
      <c r="E122" s="38" t="s">
        <v>86</v>
      </c>
      <c r="F122" s="38" t="s">
        <v>142</v>
      </c>
      <c r="G122" s="38" t="s">
        <v>43</v>
      </c>
      <c r="H122" s="38" t="s">
        <v>43</v>
      </c>
      <c r="I122" s="38" t="s">
        <v>43</v>
      </c>
      <c r="J122" s="38" t="s">
        <v>43</v>
      </c>
      <c r="K122" s="38" t="s">
        <v>41</v>
      </c>
      <c r="L122" s="38" t="s">
        <v>939</v>
      </c>
      <c r="M122" s="38" t="s">
        <v>43</v>
      </c>
      <c r="N122" s="38" t="s">
        <v>56</v>
      </c>
      <c r="O122" s="38"/>
      <c r="P122" s="38" t="s">
        <v>41</v>
      </c>
      <c r="Q122" s="38" t="s">
        <v>43</v>
      </c>
      <c r="R122" s="38" t="s">
        <v>43</v>
      </c>
    </row>
    <row r="123" spans="1:18" ht="45" x14ac:dyDescent="0.15">
      <c r="A123" s="38" t="s">
        <v>293</v>
      </c>
      <c r="B123" s="38" t="s">
        <v>145</v>
      </c>
      <c r="C123" s="34" t="s">
        <v>294</v>
      </c>
      <c r="D123" s="38" t="str">
        <f>VLOOKUP($A123,[1]Sheet1!$A$2:$G$249,2,FALSE)</f>
        <v>Africa</v>
      </c>
      <c r="E123" s="38" t="s">
        <v>73</v>
      </c>
      <c r="F123" s="38" t="s">
        <v>79</v>
      </c>
      <c r="G123" s="38" t="s">
        <v>41</v>
      </c>
      <c r="H123" s="38" t="s">
        <v>43</v>
      </c>
      <c r="I123" s="38" t="s">
        <v>43</v>
      </c>
      <c r="J123" s="38" t="s">
        <v>41</v>
      </c>
      <c r="K123" s="38" t="s">
        <v>41</v>
      </c>
      <c r="L123" s="38" t="s">
        <v>946</v>
      </c>
      <c r="M123" s="38" t="s">
        <v>41</v>
      </c>
      <c r="N123" s="38" t="s">
        <v>44</v>
      </c>
      <c r="O123" s="38" t="s">
        <v>45</v>
      </c>
      <c r="P123" s="38" t="s">
        <v>41</v>
      </c>
      <c r="Q123" s="38" t="s">
        <v>41</v>
      </c>
      <c r="R123" s="38" t="s">
        <v>41</v>
      </c>
    </row>
    <row r="124" spans="1:18" ht="33.75" x14ac:dyDescent="0.15">
      <c r="A124" s="38" t="s">
        <v>327</v>
      </c>
      <c r="B124" s="38" t="s">
        <v>64</v>
      </c>
      <c r="C124" s="34" t="s">
        <v>954</v>
      </c>
      <c r="D124" s="38" t="str">
        <f>VLOOKUP($A124,[1]Sheet1!$A$2:$G$249,2,FALSE)</f>
        <v>Africa</v>
      </c>
      <c r="E124" s="38" t="s">
        <v>66</v>
      </c>
      <c r="F124" s="38"/>
      <c r="G124" s="38" t="s">
        <v>43</v>
      </c>
      <c r="H124" s="38" t="s">
        <v>43</v>
      </c>
      <c r="I124" s="38" t="s">
        <v>43</v>
      </c>
      <c r="J124" s="38" t="s">
        <v>43</v>
      </c>
      <c r="K124" s="38" t="s">
        <v>41</v>
      </c>
      <c r="L124" s="38" t="s">
        <v>326</v>
      </c>
      <c r="M124" s="38" t="s">
        <v>43</v>
      </c>
      <c r="N124" s="38" t="s">
        <v>74</v>
      </c>
      <c r="O124" s="38"/>
      <c r="P124" s="38" t="s">
        <v>41</v>
      </c>
      <c r="Q124" s="38" t="s">
        <v>43</v>
      </c>
      <c r="R124" s="38" t="s">
        <v>43</v>
      </c>
    </row>
    <row r="125" spans="1:18" ht="33.75" x14ac:dyDescent="0.15">
      <c r="A125" s="38" t="s">
        <v>333</v>
      </c>
      <c r="B125" s="38" t="s">
        <v>84</v>
      </c>
      <c r="C125" s="34" t="s">
        <v>955</v>
      </c>
      <c r="D125" s="38" t="str">
        <f>VLOOKUP($A125,[1]Sheet1!$A$2:$G$249,2,FALSE)</f>
        <v>Americas</v>
      </c>
      <c r="E125" s="38" t="s">
        <v>86</v>
      </c>
      <c r="F125" s="38" t="s">
        <v>142</v>
      </c>
      <c r="G125" s="38" t="s">
        <v>43</v>
      </c>
      <c r="H125" s="38" t="s">
        <v>43</v>
      </c>
      <c r="I125" s="38" t="s">
        <v>43</v>
      </c>
      <c r="J125" s="38" t="s">
        <v>41</v>
      </c>
      <c r="K125" s="38" t="s">
        <v>41</v>
      </c>
      <c r="L125" s="38" t="s">
        <v>956</v>
      </c>
      <c r="M125" s="38" t="s">
        <v>43</v>
      </c>
      <c r="N125" s="38" t="s">
        <v>56</v>
      </c>
      <c r="O125" s="38"/>
      <c r="P125" s="38" t="s">
        <v>41</v>
      </c>
      <c r="Q125" s="38" t="s">
        <v>43</v>
      </c>
      <c r="R125" s="38" t="s">
        <v>43</v>
      </c>
    </row>
    <row r="126" spans="1:18" ht="45" x14ac:dyDescent="0.15">
      <c r="A126" s="38" t="s">
        <v>344</v>
      </c>
      <c r="B126" s="38" t="s">
        <v>72</v>
      </c>
      <c r="C126" s="34" t="s">
        <v>959</v>
      </c>
      <c r="D126" s="38" t="str">
        <f>VLOOKUP($A126,[1]Sheet1!$A$2:$G$249,2,FALSE)</f>
        <v>Africa</v>
      </c>
      <c r="E126" s="38" t="s">
        <v>73</v>
      </c>
      <c r="F126" s="38" t="s">
        <v>208</v>
      </c>
      <c r="G126" s="38" t="s">
        <v>41</v>
      </c>
      <c r="H126" s="38" t="s">
        <v>43</v>
      </c>
      <c r="I126" s="38" t="s">
        <v>43</v>
      </c>
      <c r="J126" s="38" t="s">
        <v>43</v>
      </c>
      <c r="K126" s="38" t="s">
        <v>41</v>
      </c>
      <c r="L126" s="38" t="s">
        <v>960</v>
      </c>
      <c r="M126" s="38" t="s">
        <v>43</v>
      </c>
      <c r="N126" s="38" t="s">
        <v>44</v>
      </c>
      <c r="O126" s="38" t="s">
        <v>203</v>
      </c>
      <c r="P126" s="38" t="s">
        <v>41</v>
      </c>
      <c r="Q126" s="38" t="s">
        <v>41</v>
      </c>
      <c r="R126" s="38" t="s">
        <v>43</v>
      </c>
    </row>
    <row r="127" spans="1:18" ht="22.5" x14ac:dyDescent="0.15">
      <c r="A127" s="38" t="s">
        <v>355</v>
      </c>
      <c r="B127" s="38" t="s">
        <v>72</v>
      </c>
      <c r="C127" s="34" t="s">
        <v>963</v>
      </c>
      <c r="D127" s="38" t="str">
        <f>VLOOKUP($A127,[1]Sheet1!$A$2:$G$249,2,FALSE)</f>
        <v>Africa</v>
      </c>
      <c r="E127" s="38" t="s">
        <v>73</v>
      </c>
      <c r="F127" s="38" t="s">
        <v>208</v>
      </c>
      <c r="G127" s="38" t="s">
        <v>41</v>
      </c>
      <c r="H127" s="38" t="s">
        <v>41</v>
      </c>
      <c r="I127" s="38" t="s">
        <v>43</v>
      </c>
      <c r="J127" s="38" t="s">
        <v>41</v>
      </c>
      <c r="K127" s="38" t="s">
        <v>41</v>
      </c>
      <c r="L127" s="38" t="s">
        <v>354</v>
      </c>
      <c r="M127" s="38" t="s">
        <v>41</v>
      </c>
      <c r="N127" s="38" t="s">
        <v>44</v>
      </c>
      <c r="O127" s="38" t="s">
        <v>45</v>
      </c>
      <c r="P127" s="38" t="s">
        <v>41</v>
      </c>
      <c r="Q127" s="38" t="s">
        <v>41</v>
      </c>
      <c r="R127" s="38" t="s">
        <v>41</v>
      </c>
    </row>
    <row r="128" spans="1:18" ht="33.75" x14ac:dyDescent="0.15">
      <c r="A128" s="38" t="s">
        <v>402</v>
      </c>
      <c r="B128" s="38" t="s">
        <v>145</v>
      </c>
      <c r="C128" s="34" t="s">
        <v>973</v>
      </c>
      <c r="D128" s="38" t="str">
        <f>VLOOKUP($A128,[1]Sheet1!$A$2:$G$249,2,FALSE)</f>
        <v>Africa</v>
      </c>
      <c r="E128" s="38" t="s">
        <v>73</v>
      </c>
      <c r="F128" s="38" t="s">
        <v>150</v>
      </c>
      <c r="G128" s="38" t="s">
        <v>41</v>
      </c>
      <c r="H128" s="38" t="s">
        <v>43</v>
      </c>
      <c r="I128" s="38" t="s">
        <v>43</v>
      </c>
      <c r="J128" s="38" t="s">
        <v>43</v>
      </c>
      <c r="K128" s="38" t="s">
        <v>41</v>
      </c>
      <c r="L128" s="38" t="s">
        <v>974</v>
      </c>
      <c r="M128" s="38" t="s">
        <v>43</v>
      </c>
      <c r="N128" s="38" t="s">
        <v>74</v>
      </c>
      <c r="O128" s="38"/>
      <c r="P128" s="38" t="s">
        <v>41</v>
      </c>
      <c r="Q128" s="38" t="s">
        <v>43</v>
      </c>
      <c r="R128" s="38" t="s">
        <v>41</v>
      </c>
    </row>
    <row r="129" spans="1:18" ht="45" x14ac:dyDescent="0.15">
      <c r="A129" s="38" t="s">
        <v>419</v>
      </c>
      <c r="B129" s="38" t="s">
        <v>84</v>
      </c>
      <c r="C129" s="34" t="s">
        <v>978</v>
      </c>
      <c r="D129" s="38" t="str">
        <f>VLOOKUP($A129,[1]Sheet1!$A$2:$G$249,2,FALSE)</f>
        <v>Americas</v>
      </c>
      <c r="E129" s="38" t="s">
        <v>86</v>
      </c>
      <c r="F129" s="38" t="s">
        <v>89</v>
      </c>
      <c r="G129" s="38" t="s">
        <v>41</v>
      </c>
      <c r="H129" s="38" t="s">
        <v>43</v>
      </c>
      <c r="I129" s="38" t="s">
        <v>41</v>
      </c>
      <c r="J129" s="38" t="s">
        <v>41</v>
      </c>
      <c r="K129" s="38" t="s">
        <v>41</v>
      </c>
      <c r="L129" s="38" t="s">
        <v>418</v>
      </c>
      <c r="M129" s="38" t="s">
        <v>41</v>
      </c>
      <c r="N129" s="38" t="s">
        <v>74</v>
      </c>
      <c r="O129" s="38" t="s">
        <v>203</v>
      </c>
      <c r="P129" s="38" t="s">
        <v>41</v>
      </c>
      <c r="Q129" s="38" t="s">
        <v>41</v>
      </c>
      <c r="R129" s="38" t="s">
        <v>41</v>
      </c>
    </row>
    <row r="130" spans="1:18" ht="33.75" x14ac:dyDescent="0.15">
      <c r="A130" s="38" t="s">
        <v>425</v>
      </c>
      <c r="B130" s="38" t="s">
        <v>84</v>
      </c>
      <c r="C130" s="34" t="s">
        <v>979</v>
      </c>
      <c r="D130" s="38" t="str">
        <f>VLOOKUP($A130,[1]Sheet1!$A$2:$G$249,2,FALSE)</f>
        <v>Americas</v>
      </c>
      <c r="E130" s="38" t="s">
        <v>86</v>
      </c>
      <c r="F130" s="38" t="s">
        <v>142</v>
      </c>
      <c r="G130" s="38" t="s">
        <v>43</v>
      </c>
      <c r="H130" s="38" t="s">
        <v>43</v>
      </c>
      <c r="I130" s="38" t="s">
        <v>43</v>
      </c>
      <c r="J130" s="38" t="s">
        <v>41</v>
      </c>
      <c r="K130" s="38" t="s">
        <v>41</v>
      </c>
      <c r="L130" s="38" t="s">
        <v>980</v>
      </c>
      <c r="M130" s="38" t="s">
        <v>43</v>
      </c>
      <c r="N130" s="38" t="s">
        <v>74</v>
      </c>
      <c r="O130" s="38"/>
      <c r="P130" s="38" t="s">
        <v>41</v>
      </c>
      <c r="Q130" s="38" t="s">
        <v>43</v>
      </c>
      <c r="R130" s="38" t="s">
        <v>43</v>
      </c>
    </row>
    <row r="131" spans="1:18" ht="33.75" x14ac:dyDescent="0.15">
      <c r="A131" s="38" t="s">
        <v>431</v>
      </c>
      <c r="B131" s="38" t="s">
        <v>38</v>
      </c>
      <c r="C131" s="34" t="s">
        <v>981</v>
      </c>
      <c r="D131" s="38" t="str">
        <f>VLOOKUP($A131,[1]Sheet1!$A$2:$G$249,2,FALSE)</f>
        <v>Asia</v>
      </c>
      <c r="E131" s="38" t="s">
        <v>40</v>
      </c>
      <c r="F131" s="38"/>
      <c r="G131" s="38" t="s">
        <v>43</v>
      </c>
      <c r="H131" s="38" t="s">
        <v>43</v>
      </c>
      <c r="I131" s="38" t="s">
        <v>43</v>
      </c>
      <c r="J131" s="38" t="s">
        <v>43</v>
      </c>
      <c r="K131" s="38" t="s">
        <v>41</v>
      </c>
      <c r="L131" s="38" t="s">
        <v>430</v>
      </c>
      <c r="M131" s="38" t="s">
        <v>41</v>
      </c>
      <c r="N131" s="38" t="s">
        <v>74</v>
      </c>
      <c r="O131" s="38"/>
      <c r="P131" s="38" t="s">
        <v>41</v>
      </c>
      <c r="Q131" s="38" t="s">
        <v>43</v>
      </c>
      <c r="R131" s="38" t="s">
        <v>41</v>
      </c>
    </row>
    <row r="132" spans="1:18" ht="33.75" x14ac:dyDescent="0.15">
      <c r="A132" s="38" t="s">
        <v>443</v>
      </c>
      <c r="B132" s="38" t="s">
        <v>64</v>
      </c>
      <c r="C132" s="34" t="s">
        <v>984</v>
      </c>
      <c r="D132" s="38" t="str">
        <f>VLOOKUP($A132,[1]Sheet1!$A$2:$G$249,2,FALSE)</f>
        <v>Asia</v>
      </c>
      <c r="E132" s="38" t="s">
        <v>40</v>
      </c>
      <c r="F132" s="38"/>
      <c r="G132" s="38" t="s">
        <v>43</v>
      </c>
      <c r="H132" s="38" t="s">
        <v>43</v>
      </c>
      <c r="I132" s="38" t="s">
        <v>43</v>
      </c>
      <c r="J132" s="38" t="s">
        <v>43</v>
      </c>
      <c r="K132" s="38" t="s">
        <v>41</v>
      </c>
      <c r="L132" s="38" t="s">
        <v>442</v>
      </c>
      <c r="M132" s="38" t="s">
        <v>41</v>
      </c>
      <c r="N132" s="38" t="s">
        <v>74</v>
      </c>
      <c r="O132" s="38"/>
      <c r="P132" s="38" t="s">
        <v>41</v>
      </c>
      <c r="Q132" s="38" t="s">
        <v>43</v>
      </c>
      <c r="R132" s="38" t="s">
        <v>43</v>
      </c>
    </row>
    <row r="133" spans="1:18" ht="33.75" x14ac:dyDescent="0.15">
      <c r="A133" s="38" t="s">
        <v>449</v>
      </c>
      <c r="B133" s="38" t="s">
        <v>64</v>
      </c>
      <c r="C133" s="34" t="s">
        <v>985</v>
      </c>
      <c r="D133" s="38" t="str">
        <f>VLOOKUP($A133,[1]Sheet1!$A$2:$G$249,2,FALSE)</f>
        <v>Asia</v>
      </c>
      <c r="E133" s="38" t="s">
        <v>104</v>
      </c>
      <c r="F133" s="38"/>
      <c r="G133" s="38" t="s">
        <v>43</v>
      </c>
      <c r="H133" s="38" t="s">
        <v>43</v>
      </c>
      <c r="I133" s="38" t="s">
        <v>43</v>
      </c>
      <c r="J133" s="38" t="s">
        <v>43</v>
      </c>
      <c r="K133" s="38" t="s">
        <v>41</v>
      </c>
      <c r="L133" s="38" t="s">
        <v>448</v>
      </c>
      <c r="M133" s="38" t="s">
        <v>43</v>
      </c>
      <c r="N133" s="38" t="s">
        <v>56</v>
      </c>
      <c r="O133" s="38" t="s">
        <v>45</v>
      </c>
      <c r="P133" s="38" t="s">
        <v>41</v>
      </c>
      <c r="Q133" s="38" t="s">
        <v>41</v>
      </c>
      <c r="R133" s="38" t="s">
        <v>43</v>
      </c>
    </row>
    <row r="134" spans="1:18" ht="33.75" x14ac:dyDescent="0.15">
      <c r="A134" s="38" t="s">
        <v>460</v>
      </c>
      <c r="B134" s="38" t="s">
        <v>64</v>
      </c>
      <c r="C134" s="34" t="s">
        <v>987</v>
      </c>
      <c r="D134" s="38" t="str">
        <f>VLOOKUP($A134,[1]Sheet1!$A$2:$G$249,2,FALSE)</f>
        <v>Asia</v>
      </c>
      <c r="E134" s="38" t="s">
        <v>104</v>
      </c>
      <c r="F134" s="38"/>
      <c r="G134" s="38" t="s">
        <v>43</v>
      </c>
      <c r="H134" s="38" t="s">
        <v>43</v>
      </c>
      <c r="I134" s="38" t="s">
        <v>43</v>
      </c>
      <c r="J134" s="38" t="s">
        <v>43</v>
      </c>
      <c r="K134" s="38" t="s">
        <v>41</v>
      </c>
      <c r="L134" s="38" t="s">
        <v>988</v>
      </c>
      <c r="M134" s="38" t="s">
        <v>43</v>
      </c>
      <c r="N134" s="38" t="s">
        <v>74</v>
      </c>
      <c r="O134" s="38"/>
      <c r="P134" s="38" t="s">
        <v>41</v>
      </c>
      <c r="Q134" s="38" t="s">
        <v>43</v>
      </c>
      <c r="R134" s="38" t="s">
        <v>43</v>
      </c>
    </row>
    <row r="135" spans="1:18" ht="33.75" x14ac:dyDescent="0.15">
      <c r="A135" s="38" t="s">
        <v>472</v>
      </c>
      <c r="B135" s="38" t="s">
        <v>72</v>
      </c>
      <c r="C135" s="34" t="s">
        <v>990</v>
      </c>
      <c r="D135" s="38" t="str">
        <f>VLOOKUP($A135,[1]Sheet1!$A$2:$G$249,2,FALSE)</f>
        <v>Africa</v>
      </c>
      <c r="E135" s="38" t="s">
        <v>73</v>
      </c>
      <c r="F135" s="38" t="s">
        <v>208</v>
      </c>
      <c r="G135" s="38" t="s">
        <v>43</v>
      </c>
      <c r="H135" s="38" t="s">
        <v>43</v>
      </c>
      <c r="I135" s="38" t="s">
        <v>43</v>
      </c>
      <c r="J135" s="38" t="s">
        <v>43</v>
      </c>
      <c r="K135" s="38" t="s">
        <v>41</v>
      </c>
      <c r="L135" s="38" t="s">
        <v>471</v>
      </c>
      <c r="M135" s="38" t="s">
        <v>41</v>
      </c>
      <c r="N135" s="38" t="s">
        <v>74</v>
      </c>
      <c r="O135" s="38"/>
      <c r="P135" s="38" t="s">
        <v>41</v>
      </c>
      <c r="Q135" s="38" t="s">
        <v>43</v>
      </c>
      <c r="R135" s="38" t="s">
        <v>41</v>
      </c>
    </row>
    <row r="136" spans="1:18" ht="45" x14ac:dyDescent="0.15">
      <c r="A136" s="38" t="s">
        <v>496</v>
      </c>
      <c r="B136" s="38" t="s">
        <v>64</v>
      </c>
      <c r="C136" s="34" t="s">
        <v>994</v>
      </c>
      <c r="D136" s="38" t="str">
        <f>VLOOKUP($A136,[1]Sheet1!$A$2:$G$249,2,FALSE)</f>
        <v>Asia</v>
      </c>
      <c r="E136" s="38" t="s">
        <v>104</v>
      </c>
      <c r="F136" s="38"/>
      <c r="G136" s="38" t="s">
        <v>43</v>
      </c>
      <c r="H136" s="38" t="s">
        <v>43</v>
      </c>
      <c r="I136" s="38" t="s">
        <v>43</v>
      </c>
      <c r="J136" s="38" t="s">
        <v>43</v>
      </c>
      <c r="K136" s="38" t="s">
        <v>41</v>
      </c>
      <c r="L136" s="38" t="s">
        <v>995</v>
      </c>
      <c r="M136" s="38" t="s">
        <v>43</v>
      </c>
      <c r="N136" s="38" t="s">
        <v>74</v>
      </c>
      <c r="O136" s="38" t="s">
        <v>203</v>
      </c>
      <c r="P136" s="38" t="s">
        <v>41</v>
      </c>
      <c r="Q136" s="38" t="s">
        <v>41</v>
      </c>
      <c r="R136" s="38" t="s">
        <v>43</v>
      </c>
    </row>
    <row r="137" spans="1:18" ht="45" x14ac:dyDescent="0.15">
      <c r="A137" s="38" t="s">
        <v>513</v>
      </c>
      <c r="B137" s="38" t="s">
        <v>64</v>
      </c>
      <c r="C137" s="34" t="s">
        <v>999</v>
      </c>
      <c r="D137" s="38" t="str">
        <f>VLOOKUP($A137,[1]Sheet1!$A$2:$G$249,2,FALSE)</f>
        <v>Africa</v>
      </c>
      <c r="E137" s="38" t="s">
        <v>66</v>
      </c>
      <c r="F137" s="38"/>
      <c r="G137" s="38" t="s">
        <v>43</v>
      </c>
      <c r="H137" s="38" t="s">
        <v>43</v>
      </c>
      <c r="I137" s="38" t="s">
        <v>43</v>
      </c>
      <c r="J137" s="38" t="s">
        <v>43</v>
      </c>
      <c r="K137" s="38" t="s">
        <v>41</v>
      </c>
      <c r="L137" s="38" t="s">
        <v>512</v>
      </c>
      <c r="M137" s="38" t="s">
        <v>43</v>
      </c>
      <c r="N137" s="38" t="s">
        <v>56</v>
      </c>
      <c r="O137" s="38" t="s">
        <v>203</v>
      </c>
      <c r="P137" s="38" t="s">
        <v>41</v>
      </c>
      <c r="Q137" s="38" t="s">
        <v>41</v>
      </c>
      <c r="R137" s="38" t="s">
        <v>43</v>
      </c>
    </row>
    <row r="138" spans="1:18" ht="22.5" x14ac:dyDescent="0.15">
      <c r="A138" s="38" t="s">
        <v>519</v>
      </c>
      <c r="B138" s="38" t="s">
        <v>72</v>
      </c>
      <c r="C138" s="34" t="s">
        <v>1000</v>
      </c>
      <c r="D138" s="38" t="str">
        <f>VLOOKUP($A138,[1]Sheet1!$A$2:$G$249,2,FALSE)</f>
        <v>Africa</v>
      </c>
      <c r="E138" s="38" t="s">
        <v>73</v>
      </c>
      <c r="F138" s="38" t="s">
        <v>208</v>
      </c>
      <c r="G138" s="38" t="s">
        <v>41</v>
      </c>
      <c r="H138" s="38" t="s">
        <v>43</v>
      </c>
      <c r="I138" s="38" t="s">
        <v>43</v>
      </c>
      <c r="J138" s="38" t="s">
        <v>43</v>
      </c>
      <c r="K138" s="38" t="s">
        <v>41</v>
      </c>
      <c r="L138" s="38" t="s">
        <v>518</v>
      </c>
      <c r="M138" s="38" t="s">
        <v>43</v>
      </c>
      <c r="N138" s="38" t="s">
        <v>44</v>
      </c>
      <c r="O138" s="38"/>
      <c r="P138" s="38" t="s">
        <v>41</v>
      </c>
      <c r="Q138" s="38" t="s">
        <v>41</v>
      </c>
      <c r="R138" s="38" t="s">
        <v>41</v>
      </c>
    </row>
    <row r="139" spans="1:18" ht="22.5" x14ac:dyDescent="0.15">
      <c r="A139" s="38" t="s">
        <v>525</v>
      </c>
      <c r="B139" s="38" t="s">
        <v>72</v>
      </c>
      <c r="C139" s="34" t="s">
        <v>1001</v>
      </c>
      <c r="D139" s="38" t="str">
        <f>VLOOKUP($A139,[1]Sheet1!$A$2:$G$249,2,FALSE)</f>
        <v>Africa</v>
      </c>
      <c r="E139" s="38" t="s">
        <v>73</v>
      </c>
      <c r="F139" s="38" t="s">
        <v>208</v>
      </c>
      <c r="G139" s="38" t="s">
        <v>41</v>
      </c>
      <c r="H139" s="38" t="s">
        <v>41</v>
      </c>
      <c r="I139" s="38" t="s">
        <v>43</v>
      </c>
      <c r="J139" s="38" t="s">
        <v>43</v>
      </c>
      <c r="K139" s="38" t="s">
        <v>41</v>
      </c>
      <c r="L139" s="38" t="s">
        <v>1002</v>
      </c>
      <c r="M139" s="38" t="s">
        <v>41</v>
      </c>
      <c r="N139" s="38" t="s">
        <v>44</v>
      </c>
      <c r="O139" s="38"/>
      <c r="P139" s="38" t="s">
        <v>41</v>
      </c>
      <c r="Q139" s="38" t="s">
        <v>43</v>
      </c>
      <c r="R139" s="38" t="s">
        <v>41</v>
      </c>
    </row>
    <row r="140" spans="1:18" ht="22.5" x14ac:dyDescent="0.15">
      <c r="A140" s="38" t="s">
        <v>540</v>
      </c>
      <c r="B140" s="38" t="s">
        <v>145</v>
      </c>
      <c r="C140" s="34" t="s">
        <v>1007</v>
      </c>
      <c r="D140" s="38" t="str">
        <f>VLOOKUP($A140,[1]Sheet1!$A$2:$G$249,2,FALSE)</f>
        <v>Africa</v>
      </c>
      <c r="E140" s="38" t="s">
        <v>73</v>
      </c>
      <c r="F140" s="38" t="s">
        <v>150</v>
      </c>
      <c r="G140" s="38" t="s">
        <v>41</v>
      </c>
      <c r="H140" s="38" t="s">
        <v>41</v>
      </c>
      <c r="I140" s="38" t="s">
        <v>43</v>
      </c>
      <c r="J140" s="38" t="s">
        <v>41</v>
      </c>
      <c r="K140" s="38" t="s">
        <v>41</v>
      </c>
      <c r="L140" s="38" t="s">
        <v>539</v>
      </c>
      <c r="M140" s="38" t="s">
        <v>43</v>
      </c>
      <c r="N140" s="38" t="s">
        <v>44</v>
      </c>
      <c r="O140" s="38" t="s">
        <v>45</v>
      </c>
      <c r="P140" s="38" t="s">
        <v>41</v>
      </c>
      <c r="Q140" s="38" t="s">
        <v>41</v>
      </c>
      <c r="R140" s="38" t="s">
        <v>41</v>
      </c>
    </row>
    <row r="141" spans="1:18" ht="33.75" x14ac:dyDescent="0.15">
      <c r="A141" s="38" t="s">
        <v>549</v>
      </c>
      <c r="B141" s="38" t="s">
        <v>145</v>
      </c>
      <c r="C141" s="34" t="s">
        <v>1008</v>
      </c>
      <c r="D141" s="38" t="str">
        <f>VLOOKUP($A141,[1]Sheet1!$A$2:$G$249,2,FALSE)</f>
        <v>Africa</v>
      </c>
      <c r="E141" s="38" t="s">
        <v>73</v>
      </c>
      <c r="F141" s="38" t="s">
        <v>150</v>
      </c>
      <c r="G141" s="38" t="s">
        <v>41</v>
      </c>
      <c r="H141" s="38" t="s">
        <v>43</v>
      </c>
      <c r="I141" s="38" t="s">
        <v>43</v>
      </c>
      <c r="J141" s="38" t="s">
        <v>43</v>
      </c>
      <c r="K141" s="38" t="s">
        <v>41</v>
      </c>
      <c r="L141" s="38" t="s">
        <v>1009</v>
      </c>
      <c r="M141" s="38" t="s">
        <v>43</v>
      </c>
      <c r="N141" s="38" t="s">
        <v>74</v>
      </c>
      <c r="O141" s="38"/>
      <c r="P141" s="38" t="s">
        <v>41</v>
      </c>
      <c r="Q141" s="38" t="s">
        <v>43</v>
      </c>
      <c r="R141" s="38" t="s">
        <v>41</v>
      </c>
    </row>
    <row r="142" spans="1:18" ht="33.75" x14ac:dyDescent="0.15">
      <c r="A142" s="38" t="s">
        <v>555</v>
      </c>
      <c r="B142" s="38" t="s">
        <v>84</v>
      </c>
      <c r="C142" s="34" t="s">
        <v>1010</v>
      </c>
      <c r="D142" s="38" t="str">
        <f>VLOOKUP($A142,[1]Sheet1!$A$2:$G$249,2,FALSE)</f>
        <v>Americas</v>
      </c>
      <c r="E142" s="38" t="s">
        <v>86</v>
      </c>
      <c r="F142" s="38" t="s">
        <v>142</v>
      </c>
      <c r="G142" s="38" t="s">
        <v>43</v>
      </c>
      <c r="H142" s="38" t="s">
        <v>43</v>
      </c>
      <c r="I142" s="38" t="s">
        <v>43</v>
      </c>
      <c r="J142" s="38" t="s">
        <v>43</v>
      </c>
      <c r="K142" s="38" t="s">
        <v>41</v>
      </c>
      <c r="L142" s="38" t="s">
        <v>554</v>
      </c>
      <c r="M142" s="38" t="s">
        <v>43</v>
      </c>
      <c r="N142" s="38" t="s">
        <v>56</v>
      </c>
      <c r="O142" s="38"/>
      <c r="P142" s="38" t="s">
        <v>41</v>
      </c>
      <c r="Q142" s="38" t="s">
        <v>43</v>
      </c>
      <c r="R142" s="38" t="s">
        <v>43</v>
      </c>
    </row>
    <row r="143" spans="1:18" ht="33.75" x14ac:dyDescent="0.15">
      <c r="A143" s="38" t="s">
        <v>563</v>
      </c>
      <c r="B143" s="38" t="s">
        <v>53</v>
      </c>
      <c r="C143" s="34" t="s">
        <v>1011</v>
      </c>
      <c r="D143" s="38" t="str">
        <f>VLOOKUP($A143,[1]Sheet1!$A$2:$G$249,2,FALSE)</f>
        <v>Europe</v>
      </c>
      <c r="E143" s="38" t="s">
        <v>132</v>
      </c>
      <c r="F143" s="38"/>
      <c r="G143" s="38" t="s">
        <v>43</v>
      </c>
      <c r="H143" s="38" t="s">
        <v>41</v>
      </c>
      <c r="I143" s="38" t="s">
        <v>43</v>
      </c>
      <c r="J143" s="38" t="s">
        <v>43</v>
      </c>
      <c r="K143" s="38" t="s">
        <v>41</v>
      </c>
      <c r="L143" s="38" t="s">
        <v>1012</v>
      </c>
      <c r="M143" s="38" t="s">
        <v>43</v>
      </c>
      <c r="N143" s="38" t="s">
        <v>56</v>
      </c>
      <c r="O143" s="38"/>
      <c r="P143" s="38" t="s">
        <v>41</v>
      </c>
      <c r="Q143" s="38" t="s">
        <v>43</v>
      </c>
      <c r="R143" s="38" t="s">
        <v>43</v>
      </c>
    </row>
    <row r="144" spans="1:18" ht="33.75" x14ac:dyDescent="0.15">
      <c r="A144" s="38" t="s">
        <v>583</v>
      </c>
      <c r="B144" s="38" t="s">
        <v>215</v>
      </c>
      <c r="C144" s="34" t="s">
        <v>584</v>
      </c>
      <c r="D144" s="38" t="str">
        <f>VLOOKUP($A144,[1]Sheet1!$A$2:$G$249,2,FALSE)</f>
        <v>Asia</v>
      </c>
      <c r="E144" s="38" t="s">
        <v>216</v>
      </c>
      <c r="F144" s="38"/>
      <c r="G144" s="38" t="s">
        <v>41</v>
      </c>
      <c r="H144" s="38" t="s">
        <v>43</v>
      </c>
      <c r="I144" s="38" t="s">
        <v>43</v>
      </c>
      <c r="J144" s="38" t="s">
        <v>41</v>
      </c>
      <c r="K144" s="38" t="s">
        <v>41</v>
      </c>
      <c r="L144" s="38" t="s">
        <v>1017</v>
      </c>
      <c r="M144" s="38" t="s">
        <v>41</v>
      </c>
      <c r="N144" s="38" t="s">
        <v>74</v>
      </c>
      <c r="O144" s="38" t="s">
        <v>45</v>
      </c>
      <c r="P144" s="38" t="s">
        <v>41</v>
      </c>
      <c r="Q144" s="38" t="s">
        <v>43</v>
      </c>
      <c r="R144" s="38" t="s">
        <v>41</v>
      </c>
    </row>
    <row r="145" spans="1:18" ht="22.5" x14ac:dyDescent="0.15">
      <c r="A145" s="38" t="s">
        <v>610</v>
      </c>
      <c r="B145" s="38" t="s">
        <v>145</v>
      </c>
      <c r="C145" s="34" t="s">
        <v>1023</v>
      </c>
      <c r="D145" s="38" t="str">
        <f>VLOOKUP($A145,[1]Sheet1!$A$2:$G$249,2,FALSE)</f>
        <v>Africa</v>
      </c>
      <c r="E145" s="38" t="s">
        <v>73</v>
      </c>
      <c r="F145" s="38" t="s">
        <v>150</v>
      </c>
      <c r="G145" s="38" t="s">
        <v>41</v>
      </c>
      <c r="H145" s="38" t="s">
        <v>41</v>
      </c>
      <c r="I145" s="38" t="s">
        <v>43</v>
      </c>
      <c r="J145" s="38" t="s">
        <v>41</v>
      </c>
      <c r="K145" s="38" t="s">
        <v>41</v>
      </c>
      <c r="L145" s="38" t="s">
        <v>1024</v>
      </c>
      <c r="M145" s="38" t="s">
        <v>43</v>
      </c>
      <c r="N145" s="38" t="s">
        <v>44</v>
      </c>
      <c r="O145" s="38" t="s">
        <v>45</v>
      </c>
      <c r="P145" s="38" t="s">
        <v>41</v>
      </c>
      <c r="Q145" s="38" t="s">
        <v>43</v>
      </c>
      <c r="R145" s="38" t="s">
        <v>41</v>
      </c>
    </row>
    <row r="146" spans="1:18" ht="33.75" x14ac:dyDescent="0.15">
      <c r="A146" s="38" t="s">
        <v>616</v>
      </c>
      <c r="B146" s="38" t="s">
        <v>145</v>
      </c>
      <c r="C146" s="34" t="s">
        <v>1025</v>
      </c>
      <c r="D146" s="38" t="str">
        <f>VLOOKUP($A146,[1]Sheet1!$A$2:$G$249,2,FALSE)</f>
        <v>Africa</v>
      </c>
      <c r="E146" s="38" t="s">
        <v>73</v>
      </c>
      <c r="F146" s="38" t="s">
        <v>150</v>
      </c>
      <c r="G146" s="38" t="s">
        <v>43</v>
      </c>
      <c r="H146" s="38" t="s">
        <v>43</v>
      </c>
      <c r="I146" s="38" t="s">
        <v>43</v>
      </c>
      <c r="J146" s="38" t="s">
        <v>41</v>
      </c>
      <c r="K146" s="38" t="s">
        <v>41</v>
      </c>
      <c r="L146" s="38" t="s">
        <v>1026</v>
      </c>
      <c r="M146" s="38" t="s">
        <v>41</v>
      </c>
      <c r="N146" s="38" t="s">
        <v>74</v>
      </c>
      <c r="O146" s="38" t="s">
        <v>45</v>
      </c>
      <c r="P146" s="38" t="s">
        <v>41</v>
      </c>
      <c r="Q146" s="38" t="s">
        <v>41</v>
      </c>
      <c r="R146" s="38" t="s">
        <v>41</v>
      </c>
    </row>
    <row r="147" spans="1:18" ht="33.75" x14ac:dyDescent="0.15">
      <c r="A147" s="38" t="s">
        <v>633</v>
      </c>
      <c r="B147" s="38" t="s">
        <v>38</v>
      </c>
      <c r="C147" s="34" t="s">
        <v>1030</v>
      </c>
      <c r="D147" s="38" t="str">
        <f>VLOOKUP($A147,[1]Sheet1!$A$2:$G$249,2,FALSE)</f>
        <v>Asia</v>
      </c>
      <c r="E147" s="38" t="s">
        <v>40</v>
      </c>
      <c r="F147" s="38"/>
      <c r="G147" s="38" t="s">
        <v>43</v>
      </c>
      <c r="H147" s="38" t="s">
        <v>43</v>
      </c>
      <c r="I147" s="38" t="s">
        <v>43</v>
      </c>
      <c r="J147" s="38" t="s">
        <v>43</v>
      </c>
      <c r="K147" s="38" t="s">
        <v>41</v>
      </c>
      <c r="L147" s="38" t="s">
        <v>632</v>
      </c>
      <c r="M147" s="38" t="s">
        <v>41</v>
      </c>
      <c r="N147" s="38" t="s">
        <v>74</v>
      </c>
      <c r="O147" s="38"/>
      <c r="P147" s="38" t="s">
        <v>41</v>
      </c>
      <c r="Q147" s="38" t="s">
        <v>43</v>
      </c>
      <c r="R147" s="38" t="s">
        <v>41</v>
      </c>
    </row>
    <row r="148" spans="1:18" ht="45" x14ac:dyDescent="0.15">
      <c r="A148" s="38" t="s">
        <v>642</v>
      </c>
      <c r="B148" s="38" t="s">
        <v>64</v>
      </c>
      <c r="C148" s="34" t="s">
        <v>1031</v>
      </c>
      <c r="D148" s="38" t="str">
        <f>VLOOKUP($A148,[1]Sheet1!$A$2:$G$249,2,FALSE)</f>
        <v>Asia</v>
      </c>
      <c r="E148" s="38" t="s">
        <v>104</v>
      </c>
      <c r="F148" s="38"/>
      <c r="G148" s="38" t="s">
        <v>43</v>
      </c>
      <c r="H148" s="38" t="s">
        <v>43</v>
      </c>
      <c r="I148" s="38" t="s">
        <v>43</v>
      </c>
      <c r="J148" s="38" t="s">
        <v>41</v>
      </c>
      <c r="K148" s="38" t="s">
        <v>41</v>
      </c>
      <c r="L148" s="38" t="s">
        <v>1032</v>
      </c>
      <c r="M148" s="38" t="s">
        <v>43</v>
      </c>
      <c r="N148" s="38" t="s">
        <v>56</v>
      </c>
      <c r="O148" s="38" t="s">
        <v>203</v>
      </c>
      <c r="P148" s="38" t="s">
        <v>41</v>
      </c>
      <c r="Q148" s="38" t="s">
        <v>41</v>
      </c>
      <c r="R148" s="38" t="s">
        <v>43</v>
      </c>
    </row>
    <row r="149" spans="1:18" ht="33.75" x14ac:dyDescent="0.15">
      <c r="A149" s="38" t="s">
        <v>648</v>
      </c>
      <c r="B149" s="38" t="s">
        <v>84</v>
      </c>
      <c r="C149" s="34" t="s">
        <v>1033</v>
      </c>
      <c r="D149" s="38" t="str">
        <f>VLOOKUP($A149,[1]Sheet1!$A$2:$G$249,2,FALSE)</f>
        <v>Americas</v>
      </c>
      <c r="E149" s="38" t="s">
        <v>86</v>
      </c>
      <c r="F149" s="38" t="s">
        <v>142</v>
      </c>
      <c r="G149" s="38" t="s">
        <v>43</v>
      </c>
      <c r="H149" s="38" t="s">
        <v>43</v>
      </c>
      <c r="I149" s="38" t="s">
        <v>43</v>
      </c>
      <c r="J149" s="38" t="s">
        <v>43</v>
      </c>
      <c r="K149" s="38" t="s">
        <v>41</v>
      </c>
      <c r="L149" s="38" t="s">
        <v>647</v>
      </c>
      <c r="M149" s="38" t="s">
        <v>43</v>
      </c>
      <c r="N149" s="38" t="s">
        <v>93</v>
      </c>
      <c r="O149" s="38"/>
      <c r="P149" s="38" t="s">
        <v>41</v>
      </c>
      <c r="Q149" s="38" t="s">
        <v>43</v>
      </c>
      <c r="R149" s="38" t="s">
        <v>43</v>
      </c>
    </row>
    <row r="150" spans="1:18" ht="45" x14ac:dyDescent="0.15">
      <c r="A150" s="38" t="s">
        <v>690</v>
      </c>
      <c r="B150" s="38" t="s">
        <v>145</v>
      </c>
      <c r="C150" s="34" t="s">
        <v>691</v>
      </c>
      <c r="D150" s="38" t="str">
        <f>VLOOKUP($A150,[1]Sheet1!$A$2:$G$249,2,FALSE)</f>
        <v>Africa</v>
      </c>
      <c r="E150" s="38" t="s">
        <v>73</v>
      </c>
      <c r="F150" s="38" t="s">
        <v>79</v>
      </c>
      <c r="G150" s="38" t="s">
        <v>43</v>
      </c>
      <c r="H150" s="38" t="s">
        <v>43</v>
      </c>
      <c r="I150" s="38" t="s">
        <v>43</v>
      </c>
      <c r="J150" s="38" t="s">
        <v>41</v>
      </c>
      <c r="K150" s="38" t="s">
        <v>41</v>
      </c>
      <c r="L150" s="38" t="s">
        <v>1041</v>
      </c>
      <c r="M150" s="38" t="s">
        <v>41</v>
      </c>
      <c r="N150" s="38" t="s">
        <v>74</v>
      </c>
      <c r="O150" s="38" t="s">
        <v>45</v>
      </c>
      <c r="P150" s="38" t="s">
        <v>41</v>
      </c>
      <c r="Q150" s="38" t="s">
        <v>43</v>
      </c>
      <c r="R150" s="38" t="s">
        <v>41</v>
      </c>
    </row>
    <row r="151" spans="1:18" ht="45" x14ac:dyDescent="0.15">
      <c r="A151" s="38" t="s">
        <v>706</v>
      </c>
      <c r="B151" s="38" t="s">
        <v>72</v>
      </c>
      <c r="C151" s="34" t="s">
        <v>1045</v>
      </c>
      <c r="D151" s="38" t="str">
        <f>VLOOKUP($A151,[1]Sheet1!$A$2:$G$249,2,FALSE)</f>
        <v>Africa</v>
      </c>
      <c r="E151" s="38" t="s">
        <v>73</v>
      </c>
      <c r="F151" s="38" t="s">
        <v>208</v>
      </c>
      <c r="G151" s="38" t="s">
        <v>41</v>
      </c>
      <c r="H151" s="38" t="s">
        <v>43</v>
      </c>
      <c r="I151" s="38" t="s">
        <v>43</v>
      </c>
      <c r="J151" s="38" t="s">
        <v>41</v>
      </c>
      <c r="K151" s="38" t="s">
        <v>41</v>
      </c>
      <c r="L151" s="38" t="s">
        <v>705</v>
      </c>
      <c r="M151" s="38" t="s">
        <v>41</v>
      </c>
      <c r="N151" s="38" t="s">
        <v>44</v>
      </c>
      <c r="O151" s="38" t="s">
        <v>45</v>
      </c>
      <c r="P151" s="38" t="s">
        <v>41</v>
      </c>
      <c r="Q151" s="38" t="s">
        <v>43</v>
      </c>
      <c r="R151" s="38" t="s">
        <v>41</v>
      </c>
    </row>
    <row r="152" spans="1:18" ht="22.5" x14ac:dyDescent="0.15">
      <c r="A152" s="38" t="s">
        <v>712</v>
      </c>
      <c r="B152" s="38" t="s">
        <v>53</v>
      </c>
      <c r="C152" s="34" t="s">
        <v>1046</v>
      </c>
      <c r="D152" s="38" t="str">
        <f>VLOOKUP($A152,[1]Sheet1!$A$2:$G$249,2,FALSE)</f>
        <v>Europe</v>
      </c>
      <c r="E152" s="38" t="s">
        <v>132</v>
      </c>
      <c r="F152" s="38"/>
      <c r="G152" s="38" t="s">
        <v>43</v>
      </c>
      <c r="H152" s="38" t="s">
        <v>43</v>
      </c>
      <c r="I152" s="38" t="s">
        <v>43</v>
      </c>
      <c r="J152" s="38" t="s">
        <v>43</v>
      </c>
      <c r="K152" s="38" t="s">
        <v>41</v>
      </c>
      <c r="L152" s="38" t="s">
        <v>1047</v>
      </c>
      <c r="M152" s="38" t="s">
        <v>43</v>
      </c>
      <c r="N152" s="38" t="s">
        <v>93</v>
      </c>
      <c r="O152" s="38"/>
      <c r="P152" s="38" t="s">
        <v>41</v>
      </c>
      <c r="Q152" s="38" t="s">
        <v>43</v>
      </c>
      <c r="R152" s="38" t="s">
        <v>43</v>
      </c>
    </row>
    <row r="153" spans="1:18" ht="22.5" x14ac:dyDescent="0.15">
      <c r="A153" s="38" t="s">
        <v>755</v>
      </c>
      <c r="B153" s="38" t="s">
        <v>72</v>
      </c>
      <c r="C153" s="34" t="s">
        <v>1055</v>
      </c>
      <c r="D153" s="38" t="str">
        <f>VLOOKUP($A153,[1]Sheet1!$A$2:$G$249,2,FALSE)</f>
        <v>Africa</v>
      </c>
      <c r="E153" s="38" t="s">
        <v>73</v>
      </c>
      <c r="F153" s="38" t="s">
        <v>208</v>
      </c>
      <c r="G153" s="38" t="s">
        <v>41</v>
      </c>
      <c r="H153" s="38" t="s">
        <v>43</v>
      </c>
      <c r="I153" s="38" t="s">
        <v>43</v>
      </c>
      <c r="J153" s="38" t="s">
        <v>41</v>
      </c>
      <c r="K153" s="38" t="s">
        <v>41</v>
      </c>
      <c r="L153" s="38" t="s">
        <v>754</v>
      </c>
      <c r="M153" s="38" t="s">
        <v>43</v>
      </c>
      <c r="N153" s="38" t="s">
        <v>44</v>
      </c>
      <c r="O153" s="38" t="s">
        <v>45</v>
      </c>
      <c r="P153" s="38" t="s">
        <v>41</v>
      </c>
      <c r="Q153" s="38" t="s">
        <v>41</v>
      </c>
      <c r="R153" s="38" t="s">
        <v>41</v>
      </c>
    </row>
    <row r="154" spans="1:18" ht="22.5" x14ac:dyDescent="0.15">
      <c r="A154" s="38" t="s">
        <v>766</v>
      </c>
      <c r="B154" s="38" t="s">
        <v>72</v>
      </c>
      <c r="C154" s="34" t="s">
        <v>1058</v>
      </c>
      <c r="D154" s="38" t="str">
        <f>VLOOKUP($A154,[1]Sheet1!$A$2:$G$249,2,FALSE)</f>
        <v>Africa</v>
      </c>
      <c r="E154" s="38" t="s">
        <v>73</v>
      </c>
      <c r="F154" s="38" t="s">
        <v>208</v>
      </c>
      <c r="G154" s="38" t="s">
        <v>41</v>
      </c>
      <c r="H154" s="38" t="s">
        <v>41</v>
      </c>
      <c r="I154" s="38" t="s">
        <v>43</v>
      </c>
      <c r="J154" s="38" t="s">
        <v>41</v>
      </c>
      <c r="K154" s="38" t="s">
        <v>41</v>
      </c>
      <c r="L154" s="38" t="s">
        <v>765</v>
      </c>
      <c r="M154" s="38" t="s">
        <v>43</v>
      </c>
      <c r="N154" s="38" t="s">
        <v>44</v>
      </c>
      <c r="O154" s="38" t="s">
        <v>45</v>
      </c>
      <c r="P154" s="38" t="s">
        <v>41</v>
      </c>
      <c r="Q154" s="38" t="s">
        <v>41</v>
      </c>
      <c r="R154" s="38" t="s">
        <v>41</v>
      </c>
    </row>
    <row r="155" spans="1:18" ht="33.75" x14ac:dyDescent="0.15">
      <c r="A155" s="38" t="s">
        <v>772</v>
      </c>
      <c r="B155" s="38" t="s">
        <v>38</v>
      </c>
      <c r="C155" s="34" t="s">
        <v>773</v>
      </c>
      <c r="D155" s="38" t="str">
        <f>VLOOKUP($A155,[1]Sheet1!$A$2:$G$249,2,FALSE)</f>
        <v>Asia</v>
      </c>
      <c r="E155" s="38" t="s">
        <v>40</v>
      </c>
      <c r="F155" s="38"/>
      <c r="G155" s="38" t="s">
        <v>43</v>
      </c>
      <c r="H155" s="38" t="s">
        <v>43</v>
      </c>
      <c r="I155" s="38" t="s">
        <v>43</v>
      </c>
      <c r="J155" s="38" t="s">
        <v>43</v>
      </c>
      <c r="K155" s="38" t="s">
        <v>41</v>
      </c>
      <c r="L155" s="38" t="s">
        <v>1059</v>
      </c>
      <c r="M155" s="38" t="s">
        <v>43</v>
      </c>
      <c r="N155" s="38" t="s">
        <v>74</v>
      </c>
      <c r="O155" s="38"/>
      <c r="P155" s="38" t="s">
        <v>41</v>
      </c>
      <c r="Q155" s="38" t="s">
        <v>43</v>
      </c>
      <c r="R155" s="38" t="s">
        <v>43</v>
      </c>
    </row>
    <row r="156" spans="1:18" ht="45" x14ac:dyDescent="0.15">
      <c r="A156" s="38" t="s">
        <v>788</v>
      </c>
      <c r="B156" s="38" t="s">
        <v>64</v>
      </c>
      <c r="C156" s="34" t="s">
        <v>1060</v>
      </c>
      <c r="D156" s="38" t="str">
        <f>VLOOKUP($A156,[1]Sheet1!$A$2:$G$249,2,FALSE)</f>
        <v>Africa</v>
      </c>
      <c r="E156" s="38" t="s">
        <v>66</v>
      </c>
      <c r="F156" s="38"/>
      <c r="G156" s="38" t="s">
        <v>41</v>
      </c>
      <c r="H156" s="38" t="s">
        <v>43</v>
      </c>
      <c r="I156" s="38" t="s">
        <v>43</v>
      </c>
      <c r="J156" s="38" t="s">
        <v>41</v>
      </c>
      <c r="K156" s="38" t="s">
        <v>41</v>
      </c>
      <c r="L156" s="38" t="s">
        <v>1061</v>
      </c>
      <c r="M156" s="38" t="s">
        <v>43</v>
      </c>
      <c r="N156" s="38" t="s">
        <v>44</v>
      </c>
      <c r="O156" s="38" t="s">
        <v>203</v>
      </c>
      <c r="P156" s="38" t="s">
        <v>41</v>
      </c>
      <c r="Q156" s="38" t="s">
        <v>41</v>
      </c>
      <c r="R156" s="38" t="s">
        <v>41</v>
      </c>
    </row>
    <row r="157" spans="1:18" ht="22.5" x14ac:dyDescent="0.15">
      <c r="A157" s="38" t="s">
        <v>797</v>
      </c>
      <c r="B157" s="38" t="s">
        <v>64</v>
      </c>
      <c r="C157" s="34" t="s">
        <v>1062</v>
      </c>
      <c r="D157" s="38" t="str">
        <f>VLOOKUP($A157,[1]Sheet1!$A$2:$G$249,2,FALSE)</f>
        <v>Asia</v>
      </c>
      <c r="E157" s="38" t="s">
        <v>104</v>
      </c>
      <c r="F157" s="38"/>
      <c r="G157" s="38" t="s">
        <v>43</v>
      </c>
      <c r="H157" s="38" t="s">
        <v>43</v>
      </c>
      <c r="I157" s="38" t="s">
        <v>43</v>
      </c>
      <c r="J157" s="38" t="s">
        <v>41</v>
      </c>
      <c r="K157" s="38" t="s">
        <v>41</v>
      </c>
      <c r="L157" s="38" t="s">
        <v>796</v>
      </c>
      <c r="M157" s="38" t="s">
        <v>43</v>
      </c>
      <c r="N157" s="38" t="s">
        <v>44</v>
      </c>
      <c r="O157" s="38" t="s">
        <v>45</v>
      </c>
      <c r="P157" s="38" t="s">
        <v>41</v>
      </c>
      <c r="Q157" s="38" t="s">
        <v>41</v>
      </c>
      <c r="R157" s="38" t="s">
        <v>41</v>
      </c>
    </row>
    <row r="158" spans="1:18" ht="33.75" x14ac:dyDescent="0.15">
      <c r="A158" s="38" t="s">
        <v>1101</v>
      </c>
      <c r="B158" s="38" t="s">
        <v>53</v>
      </c>
      <c r="C158" s="34" t="s">
        <v>1071</v>
      </c>
      <c r="D158" s="38" t="str">
        <f>VLOOKUP($A158,[1]Sheet1!$A$2:$G$249,2,FALSE)</f>
        <v>Asia</v>
      </c>
      <c r="E158" s="38" t="s">
        <v>104</v>
      </c>
      <c r="F158" s="38"/>
      <c r="G158" s="38" t="s">
        <v>43</v>
      </c>
      <c r="H158" s="38" t="s">
        <v>43</v>
      </c>
      <c r="I158" s="38" t="s">
        <v>43</v>
      </c>
      <c r="J158" s="38" t="s">
        <v>43</v>
      </c>
      <c r="K158" s="38" t="s">
        <v>41</v>
      </c>
      <c r="L158" s="38" t="s">
        <v>838</v>
      </c>
      <c r="M158" s="38" t="s">
        <v>43</v>
      </c>
      <c r="N158" s="38" t="s">
        <v>56</v>
      </c>
      <c r="O158" s="38"/>
      <c r="P158" s="38" t="s">
        <v>41</v>
      </c>
      <c r="Q158" s="38" t="s">
        <v>43</v>
      </c>
      <c r="R158" s="38" t="s">
        <v>43</v>
      </c>
    </row>
    <row r="159" spans="1:18" ht="22.5" x14ac:dyDescent="0.15">
      <c r="A159" s="38" t="s">
        <v>858</v>
      </c>
      <c r="B159" s="38" t="s">
        <v>72</v>
      </c>
      <c r="C159" s="34" t="s">
        <v>1074</v>
      </c>
      <c r="D159" s="38" t="str">
        <f>VLOOKUP($A159,[1]Sheet1!$A$2:$G$249,2,FALSE)</f>
        <v>Africa</v>
      </c>
      <c r="E159" s="38" t="s">
        <v>73</v>
      </c>
      <c r="F159" s="38" t="s">
        <v>208</v>
      </c>
      <c r="G159" s="38" t="s">
        <v>41</v>
      </c>
      <c r="H159" s="38" t="s">
        <v>41</v>
      </c>
      <c r="I159" s="38" t="s">
        <v>43</v>
      </c>
      <c r="J159" s="38" t="s">
        <v>43</v>
      </c>
      <c r="K159" s="38" t="s">
        <v>41</v>
      </c>
      <c r="L159" s="38" t="s">
        <v>1075</v>
      </c>
      <c r="M159" s="38" t="s">
        <v>41</v>
      </c>
      <c r="N159" s="38" t="s">
        <v>44</v>
      </c>
      <c r="O159" s="38"/>
      <c r="P159" s="38" t="s">
        <v>41</v>
      </c>
      <c r="Q159" s="38" t="s">
        <v>43</v>
      </c>
      <c r="R159" s="38" t="s">
        <v>41</v>
      </c>
    </row>
    <row r="160" spans="1:18" ht="33.75" x14ac:dyDescent="0.15">
      <c r="A160" s="38" t="s">
        <v>864</v>
      </c>
      <c r="B160" s="38" t="s">
        <v>53</v>
      </c>
      <c r="C160" s="34" t="s">
        <v>1076</v>
      </c>
      <c r="D160" s="38" t="str">
        <f>VLOOKUP($A160,[1]Sheet1!$A$2:$G$249,2,FALSE)</f>
        <v>Europe</v>
      </c>
      <c r="E160" s="38" t="s">
        <v>132</v>
      </c>
      <c r="F160" s="38"/>
      <c r="G160" s="38" t="s">
        <v>43</v>
      </c>
      <c r="H160" s="38" t="s">
        <v>43</v>
      </c>
      <c r="I160" s="38" t="s">
        <v>43</v>
      </c>
      <c r="J160" s="38" t="s">
        <v>41</v>
      </c>
      <c r="K160" s="38" t="s">
        <v>41</v>
      </c>
      <c r="L160" s="38" t="s">
        <v>863</v>
      </c>
      <c r="M160" s="38" t="s">
        <v>41</v>
      </c>
      <c r="N160" s="38" t="s">
        <v>74</v>
      </c>
      <c r="O160" s="38" t="s">
        <v>45</v>
      </c>
      <c r="P160" s="38" t="s">
        <v>41</v>
      </c>
      <c r="Q160" s="38" t="s">
        <v>41</v>
      </c>
      <c r="R160" s="38" t="s">
        <v>43</v>
      </c>
    </row>
    <row r="161" spans="1:18" ht="45" x14ac:dyDescent="0.15">
      <c r="A161" s="38" t="s">
        <v>880</v>
      </c>
      <c r="B161" s="38" t="s">
        <v>84</v>
      </c>
      <c r="C161" s="34" t="s">
        <v>1082</v>
      </c>
      <c r="D161" s="38" t="str">
        <f>VLOOKUP($A161,[1]Sheet1!$A$2:$G$249,2,FALSE)</f>
        <v>Americas</v>
      </c>
      <c r="E161" s="38" t="s">
        <v>86</v>
      </c>
      <c r="F161" s="38" t="s">
        <v>100</v>
      </c>
      <c r="G161" s="38" t="s">
        <v>43</v>
      </c>
      <c r="H161" s="38" t="s">
        <v>43</v>
      </c>
      <c r="I161" s="38" t="s">
        <v>43</v>
      </c>
      <c r="J161" s="38" t="s">
        <v>41</v>
      </c>
      <c r="K161" s="38" t="s">
        <v>41</v>
      </c>
      <c r="L161" s="38" t="s">
        <v>1083</v>
      </c>
      <c r="M161" s="38" t="s">
        <v>43</v>
      </c>
      <c r="N161" s="38" t="s">
        <v>88</v>
      </c>
      <c r="O161" s="38" t="s">
        <v>203</v>
      </c>
      <c r="P161" s="38" t="s">
        <v>41</v>
      </c>
      <c r="Q161" s="38" t="s">
        <v>41</v>
      </c>
      <c r="R161" s="38" t="s">
        <v>41</v>
      </c>
    </row>
    <row r="162" spans="1:18" ht="22.5" x14ac:dyDescent="0.15">
      <c r="A162" s="38" t="s">
        <v>892</v>
      </c>
      <c r="B162" s="38" t="s">
        <v>64</v>
      </c>
      <c r="C162" s="34" t="s">
        <v>1086</v>
      </c>
      <c r="D162" s="38" t="str">
        <f>VLOOKUP($A162,[1]Sheet1!$A$2:$G$249,2,FALSE)</f>
        <v>Asia</v>
      </c>
      <c r="E162" s="38" t="s">
        <v>104</v>
      </c>
      <c r="F162" s="38"/>
      <c r="G162" s="38" t="s">
        <v>41</v>
      </c>
      <c r="H162" s="38" t="s">
        <v>43</v>
      </c>
      <c r="I162" s="38" t="s">
        <v>43</v>
      </c>
      <c r="J162" s="38" t="s">
        <v>41</v>
      </c>
      <c r="K162" s="38" t="s">
        <v>41</v>
      </c>
      <c r="L162" s="38" t="s">
        <v>891</v>
      </c>
      <c r="M162" s="38" t="s">
        <v>43</v>
      </c>
      <c r="N162" s="38" t="s">
        <v>44</v>
      </c>
      <c r="O162" s="38" t="s">
        <v>45</v>
      </c>
      <c r="P162" s="38" t="s">
        <v>41</v>
      </c>
      <c r="Q162" s="38" t="s">
        <v>41</v>
      </c>
      <c r="R162" s="38" t="s">
        <v>41</v>
      </c>
    </row>
    <row r="163" spans="1:18" ht="45" x14ac:dyDescent="0.15">
      <c r="A163" s="38" t="s">
        <v>904</v>
      </c>
      <c r="B163" s="38" t="s">
        <v>72</v>
      </c>
      <c r="C163" s="34" t="s">
        <v>1089</v>
      </c>
      <c r="D163" s="38" t="str">
        <f>VLOOKUP($A163,[1]Sheet1!$A$2:$G$249,2,FALSE)</f>
        <v>Africa</v>
      </c>
      <c r="E163" s="38" t="s">
        <v>73</v>
      </c>
      <c r="F163" s="38" t="s">
        <v>208</v>
      </c>
      <c r="G163" s="38" t="s">
        <v>43</v>
      </c>
      <c r="H163" s="38" t="s">
        <v>41</v>
      </c>
      <c r="I163" s="38" t="s">
        <v>43</v>
      </c>
      <c r="J163" s="38" t="s">
        <v>43</v>
      </c>
      <c r="K163" s="38" t="s">
        <v>41</v>
      </c>
      <c r="L163" s="38" t="s">
        <v>1090</v>
      </c>
      <c r="M163" s="38" t="s">
        <v>41</v>
      </c>
      <c r="N163" s="38" t="s">
        <v>74</v>
      </c>
      <c r="O163" s="38" t="s">
        <v>203</v>
      </c>
      <c r="P163" s="38" t="s">
        <v>41</v>
      </c>
      <c r="Q163" s="38" t="s">
        <v>43</v>
      </c>
      <c r="R163" s="38" t="s">
        <v>41</v>
      </c>
    </row>
  </sheetData>
  <autoFilter ref="A1:R163" xr:uid="{7BD39B08-C3BA-4D08-A493-BA773E69A1D6}">
    <sortState xmlns:xlrd2="http://schemas.microsoft.com/office/spreadsheetml/2017/richdata2" ref="A2:R163">
      <sortCondition ref="P1:P16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D3EC-ECD1-4641-93BC-E94E63078A6B}">
  <sheetPr filterMode="1"/>
  <dimension ref="A1:I159"/>
  <sheetViews>
    <sheetView zoomScaleNormal="100" workbookViewId="0"/>
  </sheetViews>
  <sheetFormatPr defaultRowHeight="15" x14ac:dyDescent="0.25"/>
  <cols>
    <col min="1" max="1" width="12.5703125" style="9"/>
    <col min="2" max="2" width="13.42578125" style="26" customWidth="1"/>
    <col min="3" max="3" width="10.42578125" style="26" customWidth="1"/>
    <col min="6" max="6" width="9" style="8"/>
    <col min="7" max="7" width="13.140625" style="6" customWidth="1"/>
    <col min="8" max="8" width="10.7109375" style="6" customWidth="1"/>
    <col min="9" max="9" width="13.28515625" style="6" customWidth="1"/>
  </cols>
  <sheetData>
    <row r="1" spans="1:9" ht="99.75" customHeight="1" x14ac:dyDescent="0.25">
      <c r="A1" s="10" t="s">
        <v>23</v>
      </c>
      <c r="B1" s="24" t="s">
        <v>24</v>
      </c>
      <c r="C1" s="28" t="s">
        <v>10</v>
      </c>
      <c r="D1" s="16" t="s">
        <v>11</v>
      </c>
      <c r="E1" s="16" t="s">
        <v>12</v>
      </c>
      <c r="F1" s="11" t="s">
        <v>14</v>
      </c>
      <c r="G1" s="11" t="s">
        <v>16</v>
      </c>
      <c r="H1" s="11" t="s">
        <v>18</v>
      </c>
      <c r="I1" s="11" t="s">
        <v>20</v>
      </c>
    </row>
    <row r="2" spans="1:9" ht="21" x14ac:dyDescent="0.25">
      <c r="A2" s="13" t="s">
        <v>36</v>
      </c>
      <c r="B2" s="25" t="s">
        <v>37</v>
      </c>
      <c r="C2" s="1">
        <v>1</v>
      </c>
      <c r="D2" s="22" t="s">
        <v>35</v>
      </c>
      <c r="E2" s="27" t="s">
        <v>43</v>
      </c>
      <c r="F2" s="13" t="s">
        <v>44</v>
      </c>
      <c r="G2" s="14" t="s">
        <v>45</v>
      </c>
      <c r="H2" s="14" t="s">
        <v>41</v>
      </c>
      <c r="I2" s="14" t="s">
        <v>41</v>
      </c>
    </row>
    <row r="3" spans="1:9" ht="31.5" hidden="1" x14ac:dyDescent="0.25">
      <c r="A3" s="12" t="s">
        <v>51</v>
      </c>
      <c r="B3" s="25" t="s">
        <v>52</v>
      </c>
      <c r="C3" s="1">
        <v>1</v>
      </c>
      <c r="D3" s="1" t="s">
        <v>50</v>
      </c>
      <c r="E3" s="27" t="s">
        <v>43</v>
      </c>
      <c r="F3" s="13" t="s">
        <v>56</v>
      </c>
      <c r="G3" s="14"/>
      <c r="H3" s="14" t="s">
        <v>43</v>
      </c>
      <c r="I3" s="14" t="s">
        <v>43</v>
      </c>
    </row>
    <row r="4" spans="1:9" ht="31.5" hidden="1" x14ac:dyDescent="0.25">
      <c r="A4" s="12" t="s">
        <v>62</v>
      </c>
      <c r="B4" s="25" t="s">
        <v>63</v>
      </c>
      <c r="C4" s="1">
        <v>1</v>
      </c>
      <c r="D4" s="1" t="s">
        <v>910</v>
      </c>
      <c r="E4" s="27" t="s">
        <v>43</v>
      </c>
      <c r="F4" s="13" t="s">
        <v>74</v>
      </c>
      <c r="G4" s="14"/>
      <c r="H4" s="14" t="s">
        <v>43</v>
      </c>
      <c r="I4" s="14" t="s">
        <v>43</v>
      </c>
    </row>
    <row r="5" spans="1:9" ht="31.5" hidden="1" x14ac:dyDescent="0.25">
      <c r="A5" s="12" t="s">
        <v>71</v>
      </c>
      <c r="B5" s="25" t="s">
        <v>911</v>
      </c>
      <c r="C5" s="1">
        <v>1</v>
      </c>
      <c r="D5" s="1" t="s">
        <v>912</v>
      </c>
      <c r="E5" s="27" t="s">
        <v>41</v>
      </c>
      <c r="F5" s="13" t="s">
        <v>74</v>
      </c>
      <c r="G5" s="14"/>
      <c r="H5" s="14" t="s">
        <v>41</v>
      </c>
      <c r="I5" s="14" t="s">
        <v>43</v>
      </c>
    </row>
    <row r="6" spans="1:9" hidden="1" x14ac:dyDescent="0.25">
      <c r="A6" s="12" t="s">
        <v>81</v>
      </c>
      <c r="B6" s="25" t="s">
        <v>83</v>
      </c>
      <c r="C6" s="1">
        <v>0</v>
      </c>
      <c r="D6" s="1" t="s">
        <v>80</v>
      </c>
      <c r="E6" s="27" t="s">
        <v>43</v>
      </c>
      <c r="F6" s="13"/>
      <c r="G6" s="14"/>
      <c r="H6" s="14" t="s">
        <v>43</v>
      </c>
      <c r="I6" s="14" t="s">
        <v>43</v>
      </c>
    </row>
    <row r="7" spans="1:9" ht="21" hidden="1" x14ac:dyDescent="0.25">
      <c r="A7" s="12" t="s">
        <v>91</v>
      </c>
      <c r="B7" s="25" t="s">
        <v>92</v>
      </c>
      <c r="C7" s="1">
        <v>0</v>
      </c>
      <c r="D7" s="1" t="s">
        <v>90</v>
      </c>
      <c r="E7" s="27" t="s">
        <v>43</v>
      </c>
      <c r="F7" s="13" t="s">
        <v>93</v>
      </c>
      <c r="G7" s="14"/>
      <c r="H7" s="14" t="s">
        <v>43</v>
      </c>
      <c r="I7" s="14" t="s">
        <v>43</v>
      </c>
    </row>
    <row r="8" spans="1:9" ht="31.5" hidden="1" x14ac:dyDescent="0.25">
      <c r="A8" s="12" t="s">
        <v>95</v>
      </c>
      <c r="B8" s="25" t="s">
        <v>96</v>
      </c>
      <c r="C8" s="1">
        <v>1</v>
      </c>
      <c r="D8" s="1" t="s">
        <v>94</v>
      </c>
      <c r="E8" s="27" t="s">
        <v>43</v>
      </c>
      <c r="F8" s="13" t="s">
        <v>56</v>
      </c>
      <c r="G8" s="14"/>
      <c r="H8" s="14" t="s">
        <v>43</v>
      </c>
      <c r="I8" s="14" t="s">
        <v>43</v>
      </c>
    </row>
    <row r="9" spans="1:9" ht="31.5" hidden="1" x14ac:dyDescent="0.25">
      <c r="A9" s="12" t="s">
        <v>102</v>
      </c>
      <c r="B9" s="25" t="s">
        <v>103</v>
      </c>
      <c r="C9" s="1">
        <v>1</v>
      </c>
      <c r="D9" s="1" t="s">
        <v>101</v>
      </c>
      <c r="E9" s="27" t="s">
        <v>43</v>
      </c>
      <c r="F9" s="13" t="s">
        <v>56</v>
      </c>
      <c r="G9" s="14"/>
      <c r="H9" s="14" t="s">
        <v>43</v>
      </c>
      <c r="I9" s="14" t="s">
        <v>43</v>
      </c>
    </row>
    <row r="10" spans="1:9" ht="31.5" hidden="1" x14ac:dyDescent="0.25">
      <c r="A10" s="12" t="s">
        <v>110</v>
      </c>
      <c r="B10" s="25" t="s">
        <v>111</v>
      </c>
      <c r="C10" s="1">
        <v>1</v>
      </c>
      <c r="D10" s="1" t="s">
        <v>109</v>
      </c>
      <c r="E10" s="27" t="s">
        <v>43</v>
      </c>
      <c r="F10" s="13" t="s">
        <v>56</v>
      </c>
      <c r="G10" s="14"/>
      <c r="H10" s="14" t="s">
        <v>43</v>
      </c>
      <c r="I10" s="14" t="s">
        <v>43</v>
      </c>
    </row>
    <row r="11" spans="1:9" ht="21" hidden="1" x14ac:dyDescent="0.25">
      <c r="A11" s="12" t="s">
        <v>114</v>
      </c>
      <c r="B11" s="25" t="s">
        <v>116</v>
      </c>
      <c r="C11" s="1">
        <v>0</v>
      </c>
      <c r="D11" s="1" t="s">
        <v>113</v>
      </c>
      <c r="E11" s="27" t="s">
        <v>43</v>
      </c>
      <c r="F11" s="13" t="s">
        <v>93</v>
      </c>
      <c r="G11" s="14"/>
      <c r="H11" s="14" t="s">
        <v>43</v>
      </c>
      <c r="I11" s="14" t="s">
        <v>43</v>
      </c>
    </row>
    <row r="12" spans="1:9" ht="31.5" hidden="1" x14ac:dyDescent="0.25">
      <c r="A12" s="12" t="s">
        <v>119</v>
      </c>
      <c r="B12" s="25" t="s">
        <v>914</v>
      </c>
      <c r="C12" s="1">
        <v>1</v>
      </c>
      <c r="D12" s="1" t="s">
        <v>915</v>
      </c>
      <c r="E12" s="27" t="s">
        <v>41</v>
      </c>
      <c r="F12" s="13" t="s">
        <v>74</v>
      </c>
      <c r="G12" s="14"/>
      <c r="H12" s="14" t="s">
        <v>41</v>
      </c>
      <c r="I12" s="14" t="s">
        <v>43</v>
      </c>
    </row>
    <row r="13" spans="1:9" ht="21" hidden="1" x14ac:dyDescent="0.25">
      <c r="A13" s="12" t="s">
        <v>82</v>
      </c>
      <c r="B13" s="25" t="s">
        <v>917</v>
      </c>
      <c r="C13" s="1">
        <v>1</v>
      </c>
      <c r="D13" s="1" t="s">
        <v>916</v>
      </c>
      <c r="E13" s="27" t="s">
        <v>43</v>
      </c>
      <c r="F13" s="13" t="s">
        <v>93</v>
      </c>
      <c r="G13" s="14"/>
      <c r="H13" s="14" t="s">
        <v>43</v>
      </c>
      <c r="I13" s="14" t="s">
        <v>43</v>
      </c>
    </row>
    <row r="14" spans="1:9" ht="31.5" hidden="1" x14ac:dyDescent="0.25">
      <c r="A14" s="12" t="s">
        <v>130</v>
      </c>
      <c r="B14" s="25" t="s">
        <v>131</v>
      </c>
      <c r="C14" s="1">
        <v>1</v>
      </c>
      <c r="D14" s="1" t="s">
        <v>918</v>
      </c>
      <c r="E14" s="27" t="s">
        <v>43</v>
      </c>
      <c r="F14" s="13" t="s">
        <v>56</v>
      </c>
      <c r="G14" s="14"/>
      <c r="H14" s="14" t="s">
        <v>43</v>
      </c>
      <c r="I14" s="14" t="s">
        <v>43</v>
      </c>
    </row>
    <row r="15" spans="1:9" ht="31.5" hidden="1" x14ac:dyDescent="0.25">
      <c r="A15" s="12" t="s">
        <v>137</v>
      </c>
      <c r="B15" s="25" t="s">
        <v>919</v>
      </c>
      <c r="C15" s="1">
        <v>1</v>
      </c>
      <c r="D15" s="1" t="s">
        <v>920</v>
      </c>
      <c r="E15" s="27" t="s">
        <v>43</v>
      </c>
      <c r="F15" s="13" t="s">
        <v>56</v>
      </c>
      <c r="G15" s="14"/>
      <c r="H15" s="14" t="s">
        <v>41</v>
      </c>
      <c r="I15" s="14" t="s">
        <v>43</v>
      </c>
    </row>
    <row r="16" spans="1:9" ht="31.5" hidden="1" x14ac:dyDescent="0.25">
      <c r="A16" s="12" t="s">
        <v>144</v>
      </c>
      <c r="B16" s="25" t="s">
        <v>921</v>
      </c>
      <c r="C16" s="1">
        <v>1</v>
      </c>
      <c r="D16" s="1" t="s">
        <v>143</v>
      </c>
      <c r="E16" s="27" t="s">
        <v>43</v>
      </c>
      <c r="F16" s="13" t="s">
        <v>74</v>
      </c>
      <c r="G16" s="14"/>
      <c r="H16" s="14" t="s">
        <v>43</v>
      </c>
      <c r="I16" s="14" t="s">
        <v>43</v>
      </c>
    </row>
    <row r="17" spans="1:9" ht="31.5" hidden="1" x14ac:dyDescent="0.25">
      <c r="A17" s="12" t="s">
        <v>152</v>
      </c>
      <c r="B17" s="25" t="s">
        <v>153</v>
      </c>
      <c r="C17" s="1">
        <v>1</v>
      </c>
      <c r="D17" s="1" t="s">
        <v>151</v>
      </c>
      <c r="E17" s="27" t="s">
        <v>43</v>
      </c>
      <c r="F17" s="13" t="s">
        <v>74</v>
      </c>
      <c r="G17" s="14"/>
      <c r="H17" s="14" t="s">
        <v>43</v>
      </c>
      <c r="I17" s="14" t="s">
        <v>43</v>
      </c>
    </row>
    <row r="18" spans="1:9" ht="31.5" hidden="1" x14ac:dyDescent="0.25">
      <c r="A18" s="12" t="s">
        <v>158</v>
      </c>
      <c r="B18" s="25" t="s">
        <v>159</v>
      </c>
      <c r="C18" s="1">
        <v>1</v>
      </c>
      <c r="D18" s="1" t="s">
        <v>157</v>
      </c>
      <c r="E18" s="27" t="s">
        <v>43</v>
      </c>
      <c r="F18" s="13" t="s">
        <v>74</v>
      </c>
      <c r="G18" s="14"/>
      <c r="H18" s="14" t="s">
        <v>43</v>
      </c>
      <c r="I18" s="14" t="s">
        <v>43</v>
      </c>
    </row>
    <row r="19" spans="1:9" ht="31.5" hidden="1" x14ac:dyDescent="0.25">
      <c r="A19" s="12" t="s">
        <v>165</v>
      </c>
      <c r="B19" s="25" t="s">
        <v>166</v>
      </c>
      <c r="C19" s="1">
        <v>1</v>
      </c>
      <c r="D19" s="1" t="s">
        <v>922</v>
      </c>
      <c r="E19" s="27" t="s">
        <v>43</v>
      </c>
      <c r="F19" s="13" t="s">
        <v>56</v>
      </c>
      <c r="G19" s="14"/>
      <c r="H19" s="14" t="s">
        <v>43</v>
      </c>
      <c r="I19" s="14" t="s">
        <v>43</v>
      </c>
    </row>
    <row r="20" spans="1:9" ht="31.5" hidden="1" x14ac:dyDescent="0.25">
      <c r="A20" s="12" t="s">
        <v>171</v>
      </c>
      <c r="B20" s="25" t="s">
        <v>172</v>
      </c>
      <c r="C20" s="1">
        <v>1</v>
      </c>
      <c r="D20" s="1" t="s">
        <v>923</v>
      </c>
      <c r="E20" s="27" t="s">
        <v>41</v>
      </c>
      <c r="F20" s="13" t="s">
        <v>56</v>
      </c>
      <c r="G20" s="14"/>
      <c r="H20" s="14" t="s">
        <v>43</v>
      </c>
      <c r="I20" s="14" t="s">
        <v>43</v>
      </c>
    </row>
    <row r="21" spans="1:9" ht="31.5" hidden="1" x14ac:dyDescent="0.25">
      <c r="A21" s="12" t="s">
        <v>178</v>
      </c>
      <c r="B21" s="25" t="s">
        <v>179</v>
      </c>
      <c r="C21" s="1">
        <v>1</v>
      </c>
      <c r="D21" s="1" t="s">
        <v>924</v>
      </c>
      <c r="E21" s="27" t="s">
        <v>41</v>
      </c>
      <c r="F21" s="13" t="s">
        <v>56</v>
      </c>
      <c r="G21" s="14"/>
      <c r="H21" s="14" t="s">
        <v>41</v>
      </c>
      <c r="I21" s="14" t="s">
        <v>43</v>
      </c>
    </row>
    <row r="22" spans="1:9" ht="21" hidden="1" x14ac:dyDescent="0.25">
      <c r="A22" s="12" t="s">
        <v>185</v>
      </c>
      <c r="B22" s="25" t="s">
        <v>186</v>
      </c>
      <c r="C22" s="1">
        <v>0</v>
      </c>
      <c r="D22" s="1" t="s">
        <v>184</v>
      </c>
      <c r="E22" s="27" t="s">
        <v>43</v>
      </c>
      <c r="F22" s="13" t="s">
        <v>93</v>
      </c>
      <c r="G22" s="14"/>
      <c r="H22" s="14" t="s">
        <v>43</v>
      </c>
      <c r="I22" s="14" t="s">
        <v>43</v>
      </c>
    </row>
    <row r="23" spans="1:9" ht="31.5" hidden="1" x14ac:dyDescent="0.25">
      <c r="A23" s="12" t="s">
        <v>188</v>
      </c>
      <c r="B23" s="25" t="s">
        <v>189</v>
      </c>
      <c r="C23" s="1">
        <v>1</v>
      </c>
      <c r="D23" s="1" t="s">
        <v>925</v>
      </c>
      <c r="E23" s="27" t="s">
        <v>43</v>
      </c>
      <c r="F23" s="13" t="s">
        <v>56</v>
      </c>
      <c r="G23" s="14"/>
      <c r="H23" s="14" t="s">
        <v>43</v>
      </c>
      <c r="I23" s="14" t="s">
        <v>43</v>
      </c>
    </row>
    <row r="24" spans="1:9" ht="21" x14ac:dyDescent="0.25">
      <c r="A24" s="13" t="s">
        <v>195</v>
      </c>
      <c r="B24" s="25" t="s">
        <v>926</v>
      </c>
      <c r="C24" s="1">
        <v>1</v>
      </c>
      <c r="D24" s="22" t="s">
        <v>927</v>
      </c>
      <c r="E24" s="27" t="s">
        <v>43</v>
      </c>
      <c r="F24" s="13" t="s">
        <v>44</v>
      </c>
      <c r="G24" s="14" t="s">
        <v>45</v>
      </c>
      <c r="H24" s="14" t="s">
        <v>41</v>
      </c>
      <c r="I24" s="14" t="s">
        <v>41</v>
      </c>
    </row>
    <row r="25" spans="1:9" ht="21" hidden="1" x14ac:dyDescent="0.25">
      <c r="A25" s="12" t="s">
        <v>201</v>
      </c>
      <c r="B25" s="25" t="s">
        <v>202</v>
      </c>
      <c r="C25" s="1">
        <v>1</v>
      </c>
      <c r="D25" s="1" t="s">
        <v>928</v>
      </c>
      <c r="E25" s="27" t="s">
        <v>41</v>
      </c>
      <c r="F25" s="13" t="s">
        <v>44</v>
      </c>
      <c r="G25" s="14" t="s">
        <v>203</v>
      </c>
      <c r="H25" s="14" t="s">
        <v>41</v>
      </c>
      <c r="I25" s="14" t="s">
        <v>43</v>
      </c>
    </row>
    <row r="26" spans="1:9" ht="31.5" hidden="1" x14ac:dyDescent="0.25">
      <c r="A26" s="12" t="s">
        <v>210</v>
      </c>
      <c r="B26" s="25" t="s">
        <v>929</v>
      </c>
      <c r="C26" s="1">
        <v>1</v>
      </c>
      <c r="D26" s="1" t="s">
        <v>930</v>
      </c>
      <c r="E26" s="27" t="s">
        <v>43</v>
      </c>
      <c r="F26" s="13" t="s">
        <v>74</v>
      </c>
      <c r="G26" s="14"/>
      <c r="H26" s="14" t="s">
        <v>43</v>
      </c>
      <c r="I26" s="14" t="s">
        <v>43</v>
      </c>
    </row>
    <row r="27" spans="1:9" ht="31.5" hidden="1" x14ac:dyDescent="0.25">
      <c r="A27" s="12" t="s">
        <v>213</v>
      </c>
      <c r="B27" s="25" t="s">
        <v>214</v>
      </c>
      <c r="C27" s="1">
        <v>1</v>
      </c>
      <c r="D27" s="1" t="s">
        <v>931</v>
      </c>
      <c r="E27" s="27" t="s">
        <v>43</v>
      </c>
      <c r="F27" s="13" t="s">
        <v>74</v>
      </c>
      <c r="G27" s="14"/>
      <c r="H27" s="14" t="s">
        <v>43</v>
      </c>
      <c r="I27" s="14" t="s">
        <v>43</v>
      </c>
    </row>
    <row r="28" spans="1:9" ht="31.5" x14ac:dyDescent="0.25">
      <c r="A28" s="13" t="s">
        <v>222</v>
      </c>
      <c r="B28" s="25" t="s">
        <v>223</v>
      </c>
      <c r="C28" s="1">
        <v>1</v>
      </c>
      <c r="D28" s="22" t="s">
        <v>932</v>
      </c>
      <c r="E28" s="27" t="s">
        <v>43</v>
      </c>
      <c r="F28" s="13" t="s">
        <v>44</v>
      </c>
      <c r="G28" s="14" t="s">
        <v>45</v>
      </c>
      <c r="H28" s="14" t="s">
        <v>41</v>
      </c>
      <c r="I28" s="14" t="s">
        <v>41</v>
      </c>
    </row>
    <row r="29" spans="1:9" ht="21" hidden="1" x14ac:dyDescent="0.25">
      <c r="A29" s="12" t="s">
        <v>229</v>
      </c>
      <c r="B29" s="25" t="s">
        <v>230</v>
      </c>
      <c r="C29" s="1">
        <v>1</v>
      </c>
      <c r="D29" s="1" t="s">
        <v>933</v>
      </c>
      <c r="E29" s="27" t="s">
        <v>41</v>
      </c>
      <c r="F29" s="13" t="s">
        <v>44</v>
      </c>
      <c r="G29" s="14" t="s">
        <v>203</v>
      </c>
      <c r="H29" s="14" t="s">
        <v>41</v>
      </c>
      <c r="I29" s="14" t="s">
        <v>43</v>
      </c>
    </row>
    <row r="30" spans="1:9" ht="21" hidden="1" x14ac:dyDescent="0.25">
      <c r="A30" s="12" t="s">
        <v>236</v>
      </c>
      <c r="B30" s="25" t="s">
        <v>237</v>
      </c>
      <c r="C30" s="1">
        <v>1</v>
      </c>
      <c r="D30" s="1" t="s">
        <v>934</v>
      </c>
      <c r="E30" s="27" t="s">
        <v>43</v>
      </c>
      <c r="F30" s="13" t="s">
        <v>93</v>
      </c>
      <c r="G30" s="14"/>
      <c r="H30" s="14" t="s">
        <v>43</v>
      </c>
      <c r="I30" s="14" t="s">
        <v>43</v>
      </c>
    </row>
    <row r="31" spans="1:9" ht="31.5" hidden="1" x14ac:dyDescent="0.25">
      <c r="A31" s="12" t="s">
        <v>242</v>
      </c>
      <c r="B31" s="25" t="s">
        <v>243</v>
      </c>
      <c r="C31" s="1">
        <v>1</v>
      </c>
      <c r="D31" s="1" t="s">
        <v>241</v>
      </c>
      <c r="E31" s="27" t="s">
        <v>41</v>
      </c>
      <c r="F31" s="13" t="s">
        <v>56</v>
      </c>
      <c r="G31" s="14"/>
      <c r="H31" s="14" t="s">
        <v>43</v>
      </c>
      <c r="I31" s="14" t="s">
        <v>43</v>
      </c>
    </row>
    <row r="32" spans="1:9" ht="31.5" hidden="1" x14ac:dyDescent="0.25">
      <c r="A32" s="12" t="s">
        <v>248</v>
      </c>
      <c r="B32" s="25" t="s">
        <v>249</v>
      </c>
      <c r="C32" s="1">
        <v>1</v>
      </c>
      <c r="D32" s="1" t="s">
        <v>247</v>
      </c>
      <c r="E32" s="27" t="s">
        <v>43</v>
      </c>
      <c r="F32" s="13" t="s">
        <v>56</v>
      </c>
      <c r="G32" s="14"/>
      <c r="H32" s="14" t="s">
        <v>43</v>
      </c>
      <c r="I32" s="14" t="s">
        <v>43</v>
      </c>
    </row>
    <row r="33" spans="1:9" ht="31.5" hidden="1" x14ac:dyDescent="0.25">
      <c r="A33" s="12" t="s">
        <v>255</v>
      </c>
      <c r="B33" s="25" t="s">
        <v>935</v>
      </c>
      <c r="C33" s="1">
        <v>1</v>
      </c>
      <c r="D33" s="1" t="s">
        <v>254</v>
      </c>
      <c r="E33" s="27" t="s">
        <v>43</v>
      </c>
      <c r="F33" s="13" t="s">
        <v>74</v>
      </c>
      <c r="G33" s="14" t="s">
        <v>203</v>
      </c>
      <c r="H33" s="14" t="s">
        <v>43</v>
      </c>
      <c r="I33" s="14" t="s">
        <v>43</v>
      </c>
    </row>
    <row r="34" spans="1:9" ht="31.5" hidden="1" x14ac:dyDescent="0.25">
      <c r="A34" s="12" t="s">
        <v>260</v>
      </c>
      <c r="B34" s="25" t="s">
        <v>936</v>
      </c>
      <c r="C34" s="1">
        <v>1</v>
      </c>
      <c r="D34" s="1" t="s">
        <v>937</v>
      </c>
      <c r="E34" s="27" t="s">
        <v>43</v>
      </c>
      <c r="F34" s="15" t="s">
        <v>74</v>
      </c>
      <c r="G34" s="13" t="s">
        <v>203</v>
      </c>
      <c r="H34" s="14" t="s">
        <v>41</v>
      </c>
      <c r="I34" s="14" t="s">
        <v>43</v>
      </c>
    </row>
    <row r="35" spans="1:9" hidden="1" x14ac:dyDescent="0.25">
      <c r="A35" s="12" t="s">
        <v>266</v>
      </c>
      <c r="B35" s="25" t="s">
        <v>268</v>
      </c>
      <c r="C35" s="1">
        <v>0</v>
      </c>
      <c r="D35" s="1" t="s">
        <v>265</v>
      </c>
      <c r="E35" s="27" t="s">
        <v>43</v>
      </c>
      <c r="F35" s="13"/>
      <c r="G35" s="14"/>
      <c r="H35" s="14" t="s">
        <v>43</v>
      </c>
      <c r="I35" s="14" t="s">
        <v>43</v>
      </c>
    </row>
    <row r="36" spans="1:9" ht="31.5" hidden="1" x14ac:dyDescent="0.25">
      <c r="A36" s="12" t="s">
        <v>273</v>
      </c>
      <c r="B36" s="25" t="s">
        <v>938</v>
      </c>
      <c r="C36" s="1">
        <v>1</v>
      </c>
      <c r="D36" s="1" t="s">
        <v>939</v>
      </c>
      <c r="E36" s="27" t="s">
        <v>43</v>
      </c>
      <c r="F36" s="13" t="s">
        <v>56</v>
      </c>
      <c r="G36" s="14"/>
      <c r="H36" s="14" t="s">
        <v>43</v>
      </c>
      <c r="I36" s="14" t="s">
        <v>43</v>
      </c>
    </row>
    <row r="37" spans="1:9" hidden="1" x14ac:dyDescent="0.25">
      <c r="A37" s="12" t="s">
        <v>277</v>
      </c>
      <c r="B37" s="25" t="s">
        <v>940</v>
      </c>
      <c r="C37" s="1">
        <v>1</v>
      </c>
      <c r="D37" s="1" t="s">
        <v>941</v>
      </c>
      <c r="E37" s="27" t="s">
        <v>41</v>
      </c>
      <c r="F37" s="15" t="s">
        <v>74</v>
      </c>
      <c r="G37" s="14"/>
      <c r="H37" s="14" t="s">
        <v>43</v>
      </c>
      <c r="I37" s="14" t="s">
        <v>43</v>
      </c>
    </row>
    <row r="38" spans="1:9" ht="21" hidden="1" x14ac:dyDescent="0.25">
      <c r="A38" s="12" t="s">
        <v>283</v>
      </c>
      <c r="B38" s="25" t="s">
        <v>942</v>
      </c>
      <c r="C38" s="1">
        <v>1</v>
      </c>
      <c r="D38" s="1" t="s">
        <v>943</v>
      </c>
      <c r="E38" s="27" t="s">
        <v>43</v>
      </c>
      <c r="F38" s="13" t="s">
        <v>93</v>
      </c>
      <c r="G38" s="14"/>
      <c r="H38" s="14" t="s">
        <v>43</v>
      </c>
      <c r="I38" s="14" t="s">
        <v>43</v>
      </c>
    </row>
    <row r="39" spans="1:9" ht="31.5" hidden="1" x14ac:dyDescent="0.25">
      <c r="A39" s="12" t="s">
        <v>287</v>
      </c>
      <c r="B39" s="25" t="s">
        <v>944</v>
      </c>
      <c r="C39" s="1">
        <v>1</v>
      </c>
      <c r="D39" s="1" t="s">
        <v>945</v>
      </c>
      <c r="E39" s="27" t="s">
        <v>43</v>
      </c>
      <c r="F39" s="13" t="s">
        <v>56</v>
      </c>
      <c r="G39" s="14"/>
      <c r="H39" s="14" t="s">
        <v>43</v>
      </c>
      <c r="I39" s="14" t="s">
        <v>43</v>
      </c>
    </row>
    <row r="40" spans="1:9" ht="31.5" x14ac:dyDescent="0.25">
      <c r="A40" s="13" t="s">
        <v>293</v>
      </c>
      <c r="B40" s="25" t="s">
        <v>294</v>
      </c>
      <c r="C40" s="1">
        <v>1</v>
      </c>
      <c r="D40" s="22" t="s">
        <v>946</v>
      </c>
      <c r="E40" s="27" t="s">
        <v>41</v>
      </c>
      <c r="F40" s="15" t="s">
        <v>44</v>
      </c>
      <c r="G40" s="13" t="s">
        <v>45</v>
      </c>
      <c r="H40" s="14" t="s">
        <v>41</v>
      </c>
      <c r="I40" s="14" t="s">
        <v>41</v>
      </c>
    </row>
    <row r="41" spans="1:9" ht="31.5" hidden="1" x14ac:dyDescent="0.25">
      <c r="A41" s="12" t="s">
        <v>300</v>
      </c>
      <c r="B41" s="25" t="s">
        <v>947</v>
      </c>
      <c r="C41" s="1">
        <v>1</v>
      </c>
      <c r="D41" s="1" t="s">
        <v>948</v>
      </c>
      <c r="E41" s="27" t="s">
        <v>41</v>
      </c>
      <c r="F41" s="13" t="s">
        <v>74</v>
      </c>
      <c r="G41" s="14"/>
      <c r="H41" s="14" t="s">
        <v>41</v>
      </c>
      <c r="I41" s="14" t="s">
        <v>43</v>
      </c>
    </row>
    <row r="42" spans="1:9" ht="31.5" hidden="1" x14ac:dyDescent="0.25">
      <c r="A42" s="12" t="s">
        <v>306</v>
      </c>
      <c r="B42" s="25" t="s">
        <v>307</v>
      </c>
      <c r="C42" s="1">
        <v>0</v>
      </c>
      <c r="D42" s="1" t="s">
        <v>305</v>
      </c>
      <c r="E42" s="27" t="s">
        <v>43</v>
      </c>
      <c r="F42" s="13" t="s">
        <v>56</v>
      </c>
      <c r="G42" s="14"/>
      <c r="H42" s="14" t="s">
        <v>43</v>
      </c>
      <c r="I42" s="14" t="s">
        <v>43</v>
      </c>
    </row>
    <row r="43" spans="1:9" ht="31.5" hidden="1" x14ac:dyDescent="0.25">
      <c r="A43" s="12" t="s">
        <v>309</v>
      </c>
      <c r="B43" s="25" t="s">
        <v>949</v>
      </c>
      <c r="C43" s="1">
        <v>1</v>
      </c>
      <c r="D43" s="1" t="s">
        <v>950</v>
      </c>
      <c r="E43" s="27" t="s">
        <v>41</v>
      </c>
      <c r="F43" s="13" t="s">
        <v>56</v>
      </c>
      <c r="G43" s="14"/>
      <c r="H43" s="14" t="s">
        <v>43</v>
      </c>
      <c r="I43" s="14" t="s">
        <v>43</v>
      </c>
    </row>
    <row r="44" spans="1:9" ht="21" hidden="1" x14ac:dyDescent="0.25">
      <c r="A44" s="12" t="s">
        <v>315</v>
      </c>
      <c r="B44" s="25" t="s">
        <v>951</v>
      </c>
      <c r="C44" s="1">
        <v>1</v>
      </c>
      <c r="D44" s="1" t="s">
        <v>952</v>
      </c>
      <c r="E44" s="27" t="s">
        <v>43</v>
      </c>
      <c r="F44" s="15" t="s">
        <v>44</v>
      </c>
      <c r="G44" s="14"/>
      <c r="H44" s="14" t="s">
        <v>43</v>
      </c>
      <c r="I44" s="14" t="s">
        <v>43</v>
      </c>
    </row>
    <row r="45" spans="1:9" ht="31.5" hidden="1" x14ac:dyDescent="0.25">
      <c r="A45" s="12" t="s">
        <v>321</v>
      </c>
      <c r="B45" s="25" t="s">
        <v>953</v>
      </c>
      <c r="C45" s="1">
        <v>1</v>
      </c>
      <c r="D45" s="1" t="s">
        <v>320</v>
      </c>
      <c r="E45" s="27" t="s">
        <v>43</v>
      </c>
      <c r="F45" s="13" t="s">
        <v>56</v>
      </c>
      <c r="G45" s="14"/>
      <c r="H45" s="14" t="s">
        <v>43</v>
      </c>
      <c r="I45" s="14" t="s">
        <v>43</v>
      </c>
    </row>
    <row r="46" spans="1:9" hidden="1" x14ac:dyDescent="0.25">
      <c r="A46" s="12" t="s">
        <v>327</v>
      </c>
      <c r="B46" s="25" t="s">
        <v>954</v>
      </c>
      <c r="C46" s="1">
        <v>1</v>
      </c>
      <c r="D46" s="1" t="s">
        <v>326</v>
      </c>
      <c r="E46" s="27" t="s">
        <v>43</v>
      </c>
      <c r="F46" s="15" t="s">
        <v>74</v>
      </c>
      <c r="G46" s="14"/>
      <c r="H46" s="14" t="s">
        <v>43</v>
      </c>
      <c r="I46" s="14" t="s">
        <v>43</v>
      </c>
    </row>
    <row r="47" spans="1:9" ht="31.5" hidden="1" x14ac:dyDescent="0.25">
      <c r="A47" s="12" t="s">
        <v>333</v>
      </c>
      <c r="B47" s="25" t="s">
        <v>955</v>
      </c>
      <c r="C47" s="1">
        <v>1</v>
      </c>
      <c r="D47" s="1" t="s">
        <v>956</v>
      </c>
      <c r="E47" s="27" t="s">
        <v>43</v>
      </c>
      <c r="F47" s="13" t="s">
        <v>74</v>
      </c>
      <c r="G47" s="14"/>
      <c r="H47" s="14" t="s">
        <v>43</v>
      </c>
      <c r="I47" s="14" t="s">
        <v>43</v>
      </c>
    </row>
    <row r="48" spans="1:9" ht="31.5" hidden="1" x14ac:dyDescent="0.25">
      <c r="A48" s="12" t="s">
        <v>339</v>
      </c>
      <c r="B48" s="25" t="s">
        <v>957</v>
      </c>
      <c r="C48" s="1">
        <v>1</v>
      </c>
      <c r="D48" s="1" t="s">
        <v>958</v>
      </c>
      <c r="E48" s="27" t="s">
        <v>43</v>
      </c>
      <c r="F48" s="13" t="s">
        <v>56</v>
      </c>
      <c r="G48" s="14"/>
      <c r="H48" s="14" t="s">
        <v>43</v>
      </c>
      <c r="I48" s="14" t="s">
        <v>43</v>
      </c>
    </row>
    <row r="49" spans="1:9" ht="21" x14ac:dyDescent="0.25">
      <c r="A49" s="13" t="s">
        <v>344</v>
      </c>
      <c r="B49" s="25" t="s">
        <v>959</v>
      </c>
      <c r="C49" s="1">
        <v>1</v>
      </c>
      <c r="D49" s="22" t="s">
        <v>960</v>
      </c>
      <c r="E49" s="27" t="s">
        <v>43</v>
      </c>
      <c r="F49" s="13" t="s">
        <v>44</v>
      </c>
      <c r="G49" s="14" t="s">
        <v>203</v>
      </c>
      <c r="H49" s="14" t="s">
        <v>41</v>
      </c>
      <c r="I49" s="14" t="s">
        <v>41</v>
      </c>
    </row>
    <row r="50" spans="1:9" ht="31.5" hidden="1" x14ac:dyDescent="0.25">
      <c r="A50" s="12" t="s">
        <v>350</v>
      </c>
      <c r="B50" s="25" t="s">
        <v>961</v>
      </c>
      <c r="C50" s="1">
        <v>1</v>
      </c>
      <c r="D50" s="1" t="s">
        <v>962</v>
      </c>
      <c r="E50" s="27" t="s">
        <v>41</v>
      </c>
      <c r="F50" s="13" t="s">
        <v>74</v>
      </c>
      <c r="G50" s="14"/>
      <c r="H50" s="14" t="s">
        <v>43</v>
      </c>
      <c r="I50" s="14" t="s">
        <v>43</v>
      </c>
    </row>
    <row r="51" spans="1:9" ht="21" x14ac:dyDescent="0.25">
      <c r="A51" s="13" t="s">
        <v>355</v>
      </c>
      <c r="B51" s="25" t="s">
        <v>963</v>
      </c>
      <c r="C51" s="1">
        <v>1</v>
      </c>
      <c r="D51" s="22" t="s">
        <v>354</v>
      </c>
      <c r="E51" s="27" t="s">
        <v>41</v>
      </c>
      <c r="F51" s="13" t="s">
        <v>44</v>
      </c>
      <c r="G51" s="14" t="s">
        <v>45</v>
      </c>
      <c r="H51" s="14" t="s">
        <v>41</v>
      </c>
      <c r="I51" s="14" t="s">
        <v>41</v>
      </c>
    </row>
    <row r="52" spans="1:9" ht="31.5" hidden="1" x14ac:dyDescent="0.25">
      <c r="A52" s="12" t="s">
        <v>267</v>
      </c>
      <c r="B52" s="25" t="s">
        <v>964</v>
      </c>
      <c r="C52" s="1">
        <v>1</v>
      </c>
      <c r="D52" s="1" t="s">
        <v>360</v>
      </c>
      <c r="E52" s="27" t="s">
        <v>43</v>
      </c>
      <c r="F52" s="13" t="s">
        <v>56</v>
      </c>
      <c r="G52" s="14"/>
      <c r="H52" s="14" t="s">
        <v>43</v>
      </c>
      <c r="I52" s="14" t="s">
        <v>43</v>
      </c>
    </row>
    <row r="53" spans="1:9" ht="31.5" hidden="1" x14ac:dyDescent="0.25">
      <c r="A53" s="12" t="s">
        <v>368</v>
      </c>
      <c r="B53" s="25" t="s">
        <v>965</v>
      </c>
      <c r="C53" s="1">
        <v>1</v>
      </c>
      <c r="D53" s="1" t="s">
        <v>367</v>
      </c>
      <c r="E53" s="27" t="s">
        <v>43</v>
      </c>
      <c r="F53" s="13" t="s">
        <v>56</v>
      </c>
      <c r="G53" s="14"/>
      <c r="H53" s="14" t="s">
        <v>43</v>
      </c>
      <c r="I53" s="14" t="s">
        <v>43</v>
      </c>
    </row>
    <row r="54" spans="1:9" hidden="1" x14ac:dyDescent="0.25">
      <c r="A54" s="12" t="s">
        <v>372</v>
      </c>
      <c r="B54" s="25" t="s">
        <v>966</v>
      </c>
      <c r="C54" s="1">
        <v>1</v>
      </c>
      <c r="D54" s="1" t="s">
        <v>967</v>
      </c>
      <c r="E54" s="27" t="s">
        <v>43</v>
      </c>
      <c r="F54" s="15" t="s">
        <v>44</v>
      </c>
      <c r="G54" s="14"/>
      <c r="H54" s="14" t="s">
        <v>43</v>
      </c>
      <c r="I54" s="14" t="s">
        <v>43</v>
      </c>
    </row>
    <row r="55" spans="1:9" ht="31.5" hidden="1" x14ac:dyDescent="0.25">
      <c r="A55" s="12" t="s">
        <v>378</v>
      </c>
      <c r="B55" s="25" t="s">
        <v>968</v>
      </c>
      <c r="C55" s="1">
        <v>1</v>
      </c>
      <c r="D55" s="1" t="s">
        <v>377</v>
      </c>
      <c r="E55" s="27" t="s">
        <v>43</v>
      </c>
      <c r="F55" s="13" t="s">
        <v>56</v>
      </c>
      <c r="G55" s="14"/>
      <c r="H55" s="14" t="s">
        <v>43</v>
      </c>
      <c r="I55" s="14" t="s">
        <v>43</v>
      </c>
    </row>
    <row r="56" spans="1:9" ht="31.5" hidden="1" x14ac:dyDescent="0.25">
      <c r="A56" s="12" t="s">
        <v>383</v>
      </c>
      <c r="B56" s="25" t="s">
        <v>969</v>
      </c>
      <c r="C56" s="1">
        <v>1</v>
      </c>
      <c r="D56" s="1" t="s">
        <v>382</v>
      </c>
      <c r="E56" s="27" t="s">
        <v>41</v>
      </c>
      <c r="F56" s="13" t="s">
        <v>74</v>
      </c>
      <c r="G56" s="14"/>
      <c r="H56" s="14" t="s">
        <v>43</v>
      </c>
      <c r="I56" s="14" t="s">
        <v>43</v>
      </c>
    </row>
    <row r="57" spans="1:9" ht="21" hidden="1" x14ac:dyDescent="0.25">
      <c r="A57" s="12" t="s">
        <v>389</v>
      </c>
      <c r="B57" s="25" t="s">
        <v>970</v>
      </c>
      <c r="C57" s="1">
        <v>1</v>
      </c>
      <c r="D57" s="1" t="s">
        <v>388</v>
      </c>
      <c r="E57" s="27" t="s">
        <v>43</v>
      </c>
      <c r="F57" s="13" t="s">
        <v>93</v>
      </c>
      <c r="G57" s="14"/>
      <c r="H57" s="14" t="s">
        <v>43</v>
      </c>
      <c r="I57" s="14" t="s">
        <v>43</v>
      </c>
    </row>
    <row r="58" spans="1:9" ht="31.5" hidden="1" x14ac:dyDescent="0.25">
      <c r="A58" s="12" t="s">
        <v>393</v>
      </c>
      <c r="B58" s="25" t="s">
        <v>394</v>
      </c>
      <c r="C58" s="1">
        <v>0</v>
      </c>
      <c r="D58" s="1" t="s">
        <v>392</v>
      </c>
      <c r="E58" s="27" t="s">
        <v>43</v>
      </c>
      <c r="F58" s="13" t="s">
        <v>56</v>
      </c>
      <c r="G58" s="14"/>
      <c r="H58" s="14" t="s">
        <v>43</v>
      </c>
      <c r="I58" s="14" t="s">
        <v>43</v>
      </c>
    </row>
    <row r="59" spans="1:9" ht="31.5" hidden="1" x14ac:dyDescent="0.25">
      <c r="A59" s="12" t="s">
        <v>396</v>
      </c>
      <c r="B59" s="25" t="s">
        <v>971</v>
      </c>
      <c r="C59" s="1">
        <v>1</v>
      </c>
      <c r="D59" s="1" t="s">
        <v>972</v>
      </c>
      <c r="E59" s="27" t="s">
        <v>43</v>
      </c>
      <c r="F59" s="13" t="s">
        <v>56</v>
      </c>
      <c r="G59" s="14"/>
      <c r="H59" s="14" t="s">
        <v>43</v>
      </c>
      <c r="I59" s="14" t="s">
        <v>43</v>
      </c>
    </row>
    <row r="60" spans="1:9" ht="21" hidden="1" x14ac:dyDescent="0.25">
      <c r="A60" s="12" t="s">
        <v>402</v>
      </c>
      <c r="B60" s="25" t="s">
        <v>973</v>
      </c>
      <c r="C60" s="1">
        <v>1</v>
      </c>
      <c r="D60" s="1" t="s">
        <v>974</v>
      </c>
      <c r="E60" s="27" t="s">
        <v>43</v>
      </c>
      <c r="F60" s="13" t="s">
        <v>44</v>
      </c>
      <c r="G60" s="14"/>
      <c r="H60" s="14" t="s">
        <v>41</v>
      </c>
      <c r="I60" s="14" t="s">
        <v>43</v>
      </c>
    </row>
    <row r="61" spans="1:9" ht="31.5" hidden="1" x14ac:dyDescent="0.25">
      <c r="A61" s="12" t="s">
        <v>408</v>
      </c>
      <c r="B61" s="25" t="s">
        <v>975</v>
      </c>
      <c r="C61" s="1">
        <v>1</v>
      </c>
      <c r="D61" s="1" t="s">
        <v>976</v>
      </c>
      <c r="E61" s="27" t="s">
        <v>43</v>
      </c>
      <c r="F61" s="15" t="s">
        <v>44</v>
      </c>
      <c r="G61" s="13" t="s">
        <v>203</v>
      </c>
      <c r="H61" s="14" t="s">
        <v>43</v>
      </c>
      <c r="I61" s="14" t="s">
        <v>43</v>
      </c>
    </row>
    <row r="62" spans="1:9" ht="31.5" hidden="1" x14ac:dyDescent="0.25">
      <c r="A62" s="12" t="s">
        <v>413</v>
      </c>
      <c r="B62" s="25" t="s">
        <v>977</v>
      </c>
      <c r="C62" s="1">
        <v>1</v>
      </c>
      <c r="D62" s="1" t="s">
        <v>412</v>
      </c>
      <c r="E62" s="27" t="s">
        <v>43</v>
      </c>
      <c r="F62" s="13" t="s">
        <v>56</v>
      </c>
      <c r="G62" s="14"/>
      <c r="H62" s="14" t="s">
        <v>43</v>
      </c>
      <c r="I62" s="14" t="s">
        <v>43</v>
      </c>
    </row>
    <row r="63" spans="1:9" ht="31.5" x14ac:dyDescent="0.25">
      <c r="A63" s="13" t="s">
        <v>419</v>
      </c>
      <c r="B63" s="25" t="s">
        <v>978</v>
      </c>
      <c r="C63" s="1">
        <v>1</v>
      </c>
      <c r="D63" s="22" t="s">
        <v>418</v>
      </c>
      <c r="E63" s="27" t="s">
        <v>41</v>
      </c>
      <c r="F63" s="13" t="s">
        <v>74</v>
      </c>
      <c r="G63" s="14" t="s">
        <v>203</v>
      </c>
      <c r="H63" s="14" t="s">
        <v>41</v>
      </c>
      <c r="I63" s="14" t="s">
        <v>41</v>
      </c>
    </row>
    <row r="64" spans="1:9" ht="31.5" hidden="1" x14ac:dyDescent="0.25">
      <c r="A64" s="12" t="s">
        <v>425</v>
      </c>
      <c r="B64" s="25" t="s">
        <v>979</v>
      </c>
      <c r="C64" s="1">
        <v>1</v>
      </c>
      <c r="D64" s="1" t="s">
        <v>980</v>
      </c>
      <c r="E64" s="27" t="s">
        <v>43</v>
      </c>
      <c r="F64" s="13" t="s">
        <v>74</v>
      </c>
      <c r="G64" s="14"/>
      <c r="H64" s="14" t="s">
        <v>43</v>
      </c>
      <c r="I64" s="14" t="s">
        <v>43</v>
      </c>
    </row>
    <row r="65" spans="1:9" ht="31.5" hidden="1" x14ac:dyDescent="0.25">
      <c r="A65" s="12" t="s">
        <v>431</v>
      </c>
      <c r="B65" s="25" t="s">
        <v>981</v>
      </c>
      <c r="C65" s="1">
        <v>1</v>
      </c>
      <c r="D65" s="1" t="s">
        <v>430</v>
      </c>
      <c r="E65" s="27" t="s">
        <v>41</v>
      </c>
      <c r="F65" s="13" t="s">
        <v>74</v>
      </c>
      <c r="G65" s="14"/>
      <c r="H65" s="14" t="s">
        <v>41</v>
      </c>
      <c r="I65" s="14" t="s">
        <v>43</v>
      </c>
    </row>
    <row r="66" spans="1:9" ht="31.5" hidden="1" x14ac:dyDescent="0.25">
      <c r="A66" s="12" t="s">
        <v>437</v>
      </c>
      <c r="B66" s="25" t="s">
        <v>982</v>
      </c>
      <c r="C66" s="1">
        <v>1</v>
      </c>
      <c r="D66" s="1" t="s">
        <v>983</v>
      </c>
      <c r="E66" s="27" t="s">
        <v>41</v>
      </c>
      <c r="F66" s="13" t="s">
        <v>74</v>
      </c>
      <c r="G66" s="14"/>
      <c r="H66" s="14" t="s">
        <v>43</v>
      </c>
      <c r="I66" s="14" t="s">
        <v>43</v>
      </c>
    </row>
    <row r="67" spans="1:9" hidden="1" x14ac:dyDescent="0.25">
      <c r="A67" s="12" t="s">
        <v>443</v>
      </c>
      <c r="B67" s="25" t="s">
        <v>984</v>
      </c>
      <c r="C67" s="1">
        <v>1</v>
      </c>
      <c r="D67" s="1" t="s">
        <v>442</v>
      </c>
      <c r="E67" s="27" t="s">
        <v>41</v>
      </c>
      <c r="F67" s="15" t="s">
        <v>74</v>
      </c>
      <c r="G67" s="14"/>
      <c r="H67" s="14" t="s">
        <v>41</v>
      </c>
      <c r="I67" s="14" t="s">
        <v>43</v>
      </c>
    </row>
    <row r="68" spans="1:9" ht="31.5" x14ac:dyDescent="0.25">
      <c r="A68" s="13" t="s">
        <v>449</v>
      </c>
      <c r="B68" s="25" t="s">
        <v>985</v>
      </c>
      <c r="C68" s="1">
        <v>1</v>
      </c>
      <c r="D68" s="22" t="s">
        <v>448</v>
      </c>
      <c r="E68" s="27" t="s">
        <v>43</v>
      </c>
      <c r="F68" s="13" t="s">
        <v>56</v>
      </c>
      <c r="G68" s="14" t="s">
        <v>45</v>
      </c>
      <c r="H68" s="14" t="s">
        <v>41</v>
      </c>
      <c r="I68" s="14" t="s">
        <v>41</v>
      </c>
    </row>
    <row r="69" spans="1:9" ht="31.5" hidden="1" x14ac:dyDescent="0.25">
      <c r="A69" s="12" t="s">
        <v>455</v>
      </c>
      <c r="B69" s="25" t="s">
        <v>986</v>
      </c>
      <c r="C69" s="1">
        <v>1</v>
      </c>
      <c r="D69" s="1" t="s">
        <v>454</v>
      </c>
      <c r="E69" s="27" t="s">
        <v>43</v>
      </c>
      <c r="F69" s="13" t="s">
        <v>56</v>
      </c>
      <c r="G69" s="14"/>
      <c r="H69" s="14" t="s">
        <v>43</v>
      </c>
      <c r="I69" s="14" t="s">
        <v>43</v>
      </c>
    </row>
    <row r="70" spans="1:9" ht="31.5" hidden="1" x14ac:dyDescent="0.25">
      <c r="A70" s="12" t="s">
        <v>460</v>
      </c>
      <c r="B70" s="25" t="s">
        <v>987</v>
      </c>
      <c r="C70" s="1">
        <v>1</v>
      </c>
      <c r="D70" s="1" t="s">
        <v>988</v>
      </c>
      <c r="E70" s="27" t="s">
        <v>43</v>
      </c>
      <c r="F70" s="13" t="s">
        <v>56</v>
      </c>
      <c r="G70" s="14"/>
      <c r="H70" s="14" t="s">
        <v>43</v>
      </c>
      <c r="I70" s="14" t="s">
        <v>43</v>
      </c>
    </row>
    <row r="71" spans="1:9" ht="31.5" hidden="1" x14ac:dyDescent="0.25">
      <c r="A71" s="12" t="s">
        <v>466</v>
      </c>
      <c r="B71" s="25" t="s">
        <v>989</v>
      </c>
      <c r="C71" s="1">
        <v>1</v>
      </c>
      <c r="D71" s="1" t="s">
        <v>465</v>
      </c>
      <c r="E71" s="27" t="s">
        <v>43</v>
      </c>
      <c r="F71" s="13" t="s">
        <v>56</v>
      </c>
      <c r="G71" s="14"/>
      <c r="H71" s="14" t="s">
        <v>43</v>
      </c>
      <c r="I71" s="14" t="s">
        <v>43</v>
      </c>
    </row>
    <row r="72" spans="1:9" ht="31.5" hidden="1" x14ac:dyDescent="0.25">
      <c r="A72" s="12" t="s">
        <v>472</v>
      </c>
      <c r="B72" s="25" t="s">
        <v>990</v>
      </c>
      <c r="C72" s="1">
        <v>1</v>
      </c>
      <c r="D72" s="1" t="s">
        <v>471</v>
      </c>
      <c r="E72" s="27" t="s">
        <v>41</v>
      </c>
      <c r="F72" s="13" t="s">
        <v>74</v>
      </c>
      <c r="G72" s="14"/>
      <c r="H72" s="14" t="s">
        <v>41</v>
      </c>
      <c r="I72" s="14" t="s">
        <v>43</v>
      </c>
    </row>
    <row r="73" spans="1:9" ht="31.5" hidden="1" x14ac:dyDescent="0.25">
      <c r="A73" s="12" t="s">
        <v>478</v>
      </c>
      <c r="B73" s="25" t="s">
        <v>479</v>
      </c>
      <c r="C73" s="1">
        <v>0</v>
      </c>
      <c r="D73" s="1" t="s">
        <v>477</v>
      </c>
      <c r="E73" s="27" t="s">
        <v>43</v>
      </c>
      <c r="F73" s="13" t="s">
        <v>74</v>
      </c>
      <c r="G73" s="14"/>
      <c r="H73" s="14" t="s">
        <v>43</v>
      </c>
      <c r="I73" s="14" t="s">
        <v>43</v>
      </c>
    </row>
    <row r="74" spans="1:9" ht="31.5" hidden="1" x14ac:dyDescent="0.25">
      <c r="A74" s="12" t="s">
        <v>482</v>
      </c>
      <c r="B74" s="25" t="s">
        <v>991</v>
      </c>
      <c r="C74" s="1">
        <v>1</v>
      </c>
      <c r="D74" s="1" t="s">
        <v>992</v>
      </c>
      <c r="E74" s="27" t="s">
        <v>43</v>
      </c>
      <c r="F74" s="15" t="s">
        <v>56</v>
      </c>
      <c r="G74" s="13" t="s">
        <v>203</v>
      </c>
      <c r="H74" s="14" t="s">
        <v>43</v>
      </c>
      <c r="I74" s="14" t="s">
        <v>43</v>
      </c>
    </row>
    <row r="75" spans="1:9" ht="21" hidden="1" x14ac:dyDescent="0.25">
      <c r="A75" s="12" t="s">
        <v>487</v>
      </c>
      <c r="B75" s="25" t="s">
        <v>488</v>
      </c>
      <c r="C75" s="1">
        <v>0</v>
      </c>
      <c r="D75" s="1" t="s">
        <v>486</v>
      </c>
      <c r="E75" s="27" t="s">
        <v>43</v>
      </c>
      <c r="F75" s="13" t="s">
        <v>93</v>
      </c>
      <c r="G75" s="14"/>
      <c r="H75" s="14" t="s">
        <v>43</v>
      </c>
      <c r="I75" s="14" t="s">
        <v>43</v>
      </c>
    </row>
    <row r="76" spans="1:9" ht="21" hidden="1" x14ac:dyDescent="0.25">
      <c r="A76" s="12" t="s">
        <v>490</v>
      </c>
      <c r="B76" s="25" t="s">
        <v>993</v>
      </c>
      <c r="C76" s="1">
        <v>1</v>
      </c>
      <c r="D76" s="1" t="s">
        <v>489</v>
      </c>
      <c r="E76" s="27" t="s">
        <v>43</v>
      </c>
      <c r="F76" s="15" t="s">
        <v>74</v>
      </c>
      <c r="G76" s="14"/>
      <c r="H76" s="14" t="s">
        <v>43</v>
      </c>
      <c r="I76" s="14" t="s">
        <v>43</v>
      </c>
    </row>
    <row r="77" spans="1:9" ht="31.5" x14ac:dyDescent="0.25">
      <c r="A77" s="13" t="s">
        <v>496</v>
      </c>
      <c r="B77" s="25" t="s">
        <v>994</v>
      </c>
      <c r="C77" s="1">
        <v>1</v>
      </c>
      <c r="D77" s="22" t="s">
        <v>995</v>
      </c>
      <c r="E77" s="27" t="s">
        <v>43</v>
      </c>
      <c r="F77" s="13" t="s">
        <v>74</v>
      </c>
      <c r="G77" s="14" t="s">
        <v>203</v>
      </c>
      <c r="H77" s="14" t="s">
        <v>41</v>
      </c>
      <c r="I77" s="14" t="s">
        <v>41</v>
      </c>
    </row>
    <row r="78" spans="1:9" ht="31.5" hidden="1" x14ac:dyDescent="0.25">
      <c r="A78" s="12" t="s">
        <v>502</v>
      </c>
      <c r="B78" s="25" t="s">
        <v>996</v>
      </c>
      <c r="C78" s="1">
        <v>1</v>
      </c>
      <c r="D78" s="1" t="s">
        <v>997</v>
      </c>
      <c r="E78" s="27" t="s">
        <v>41</v>
      </c>
      <c r="F78" s="13" t="s">
        <v>74</v>
      </c>
      <c r="G78" s="14"/>
      <c r="H78" s="14" t="s">
        <v>43</v>
      </c>
      <c r="I78" s="14" t="s">
        <v>43</v>
      </c>
    </row>
    <row r="79" spans="1:9" ht="21" hidden="1" x14ac:dyDescent="0.25">
      <c r="A79" s="12" t="s">
        <v>508</v>
      </c>
      <c r="B79" s="25" t="s">
        <v>998</v>
      </c>
      <c r="C79" s="1">
        <v>1</v>
      </c>
      <c r="D79" s="1" t="s">
        <v>507</v>
      </c>
      <c r="E79" s="27" t="s">
        <v>43</v>
      </c>
      <c r="F79" s="13" t="s">
        <v>44</v>
      </c>
      <c r="G79" s="14"/>
      <c r="H79" s="14" t="s">
        <v>43</v>
      </c>
      <c r="I79" s="14" t="s">
        <v>43</v>
      </c>
    </row>
    <row r="80" spans="1:9" ht="31.5" x14ac:dyDescent="0.25">
      <c r="A80" s="13" t="s">
        <v>513</v>
      </c>
      <c r="B80" s="25" t="s">
        <v>999</v>
      </c>
      <c r="C80" s="1">
        <v>1</v>
      </c>
      <c r="D80" s="22" t="s">
        <v>512</v>
      </c>
      <c r="E80" s="27" t="s">
        <v>43</v>
      </c>
      <c r="F80" s="13" t="s">
        <v>56</v>
      </c>
      <c r="G80" s="14" t="s">
        <v>203</v>
      </c>
      <c r="H80" s="14" t="s">
        <v>41</v>
      </c>
      <c r="I80" s="14" t="s">
        <v>41</v>
      </c>
    </row>
    <row r="81" spans="1:9" ht="21" x14ac:dyDescent="0.25">
      <c r="A81" s="13" t="s">
        <v>519</v>
      </c>
      <c r="B81" s="25" t="s">
        <v>1000</v>
      </c>
      <c r="C81" s="1">
        <v>1</v>
      </c>
      <c r="D81" s="22" t="s">
        <v>518</v>
      </c>
      <c r="E81" s="27" t="s">
        <v>43</v>
      </c>
      <c r="F81" s="13" t="s">
        <v>44</v>
      </c>
      <c r="G81" s="14"/>
      <c r="H81" s="14" t="s">
        <v>41</v>
      </c>
      <c r="I81" s="14" t="s">
        <v>41</v>
      </c>
    </row>
    <row r="82" spans="1:9" ht="21" hidden="1" x14ac:dyDescent="0.25">
      <c r="A82" s="12" t="s">
        <v>525</v>
      </c>
      <c r="B82" s="25" t="s">
        <v>1001</v>
      </c>
      <c r="C82" s="1">
        <v>1</v>
      </c>
      <c r="D82" s="1" t="s">
        <v>1002</v>
      </c>
      <c r="E82" s="27" t="s">
        <v>41</v>
      </c>
      <c r="F82" s="13" t="s">
        <v>44</v>
      </c>
      <c r="G82" s="14"/>
      <c r="H82" s="14" t="s">
        <v>43</v>
      </c>
      <c r="I82" s="14" t="s">
        <v>43</v>
      </c>
    </row>
    <row r="83" spans="1:9" ht="31.5" hidden="1" x14ac:dyDescent="0.25">
      <c r="A83" s="12" t="s">
        <v>531</v>
      </c>
      <c r="B83" s="25" t="s">
        <v>1003</v>
      </c>
      <c r="C83" s="1">
        <v>1</v>
      </c>
      <c r="D83" s="1" t="s">
        <v>1004</v>
      </c>
      <c r="E83" s="27" t="s">
        <v>43</v>
      </c>
      <c r="F83" s="13" t="s">
        <v>56</v>
      </c>
      <c r="G83" s="14"/>
      <c r="H83" s="14" t="s">
        <v>43</v>
      </c>
      <c r="I83" s="14" t="s">
        <v>43</v>
      </c>
    </row>
    <row r="84" spans="1:9" ht="31.5" hidden="1" x14ac:dyDescent="0.25">
      <c r="A84" s="12" t="s">
        <v>535</v>
      </c>
      <c r="B84" s="25" t="s">
        <v>1005</v>
      </c>
      <c r="C84" s="1">
        <v>1</v>
      </c>
      <c r="D84" s="1" t="s">
        <v>1006</v>
      </c>
      <c r="E84" s="27" t="s">
        <v>43</v>
      </c>
      <c r="F84" s="13" t="s">
        <v>56</v>
      </c>
      <c r="G84" s="14"/>
      <c r="H84" s="14" t="s">
        <v>43</v>
      </c>
      <c r="I84" s="14" t="s">
        <v>43</v>
      </c>
    </row>
    <row r="85" spans="1:9" ht="21" x14ac:dyDescent="0.25">
      <c r="A85" s="13" t="s">
        <v>540</v>
      </c>
      <c r="B85" s="25" t="s">
        <v>1007</v>
      </c>
      <c r="C85" s="1">
        <v>1</v>
      </c>
      <c r="D85" s="22" t="s">
        <v>539</v>
      </c>
      <c r="E85" s="27" t="s">
        <v>43</v>
      </c>
      <c r="F85" s="13" t="s">
        <v>44</v>
      </c>
      <c r="G85" s="14" t="s">
        <v>45</v>
      </c>
      <c r="H85" s="14" t="s">
        <v>41</v>
      </c>
      <c r="I85" s="14" t="s">
        <v>41</v>
      </c>
    </row>
    <row r="86" spans="1:9" ht="31.5" hidden="1" x14ac:dyDescent="0.25">
      <c r="A86" s="12" t="s">
        <v>546</v>
      </c>
      <c r="B86" s="25" t="s">
        <v>547</v>
      </c>
      <c r="C86" s="1">
        <v>0</v>
      </c>
      <c r="D86" s="1" t="s">
        <v>545</v>
      </c>
      <c r="E86" s="27" t="s">
        <v>43</v>
      </c>
      <c r="F86" s="13" t="s">
        <v>56</v>
      </c>
      <c r="G86" s="14" t="s">
        <v>203</v>
      </c>
      <c r="H86" s="14" t="s">
        <v>43</v>
      </c>
      <c r="I86" s="14" t="s">
        <v>43</v>
      </c>
    </row>
    <row r="87" spans="1:9" ht="31.5" hidden="1" x14ac:dyDescent="0.25">
      <c r="A87" s="12" t="s">
        <v>549</v>
      </c>
      <c r="B87" s="25" t="s">
        <v>1008</v>
      </c>
      <c r="C87" s="1">
        <v>1</v>
      </c>
      <c r="D87" s="1" t="s">
        <v>1009</v>
      </c>
      <c r="E87" s="27" t="s">
        <v>43</v>
      </c>
      <c r="F87" s="13" t="s">
        <v>74</v>
      </c>
      <c r="G87" s="14"/>
      <c r="H87" s="14" t="s">
        <v>41</v>
      </c>
      <c r="I87" s="14" t="s">
        <v>43</v>
      </c>
    </row>
    <row r="88" spans="1:9" ht="31.5" hidden="1" x14ac:dyDescent="0.25">
      <c r="A88" s="12" t="s">
        <v>555</v>
      </c>
      <c r="B88" s="25" t="s">
        <v>1010</v>
      </c>
      <c r="C88" s="1">
        <v>1</v>
      </c>
      <c r="D88" s="1" t="s">
        <v>554</v>
      </c>
      <c r="E88" s="27" t="s">
        <v>43</v>
      </c>
      <c r="F88" s="13" t="s">
        <v>56</v>
      </c>
      <c r="G88" s="14"/>
      <c r="H88" s="14" t="s">
        <v>41</v>
      </c>
      <c r="I88" s="14" t="s">
        <v>43</v>
      </c>
    </row>
    <row r="89" spans="1:9" ht="31.5" hidden="1" x14ac:dyDescent="0.25">
      <c r="A89" s="12" t="s">
        <v>480</v>
      </c>
      <c r="B89" s="25" t="s">
        <v>561</v>
      </c>
      <c r="C89" s="1">
        <v>0</v>
      </c>
      <c r="D89" s="1" t="s">
        <v>560</v>
      </c>
      <c r="E89" s="27" t="s">
        <v>43</v>
      </c>
      <c r="F89" s="15" t="s">
        <v>74</v>
      </c>
      <c r="G89" s="13" t="s">
        <v>203</v>
      </c>
      <c r="H89" s="14" t="s">
        <v>43</v>
      </c>
      <c r="I89" s="14" t="s">
        <v>43</v>
      </c>
    </row>
    <row r="90" spans="1:9" ht="31.5" hidden="1" x14ac:dyDescent="0.25">
      <c r="A90" s="12" t="s">
        <v>563</v>
      </c>
      <c r="B90" s="25" t="s">
        <v>1011</v>
      </c>
      <c r="C90" s="1">
        <v>1</v>
      </c>
      <c r="D90" s="1" t="s">
        <v>1012</v>
      </c>
      <c r="E90" s="27" t="s">
        <v>43</v>
      </c>
      <c r="F90" s="13" t="s">
        <v>56</v>
      </c>
      <c r="G90" s="14"/>
      <c r="H90" s="14" t="s">
        <v>41</v>
      </c>
      <c r="I90" s="14" t="s">
        <v>43</v>
      </c>
    </row>
    <row r="91" spans="1:9" ht="31.5" hidden="1" x14ac:dyDescent="0.25">
      <c r="A91" s="12" t="s">
        <v>569</v>
      </c>
      <c r="B91" s="25" t="s">
        <v>1013</v>
      </c>
      <c r="C91" s="1">
        <v>1</v>
      </c>
      <c r="D91" s="1" t="s">
        <v>1014</v>
      </c>
      <c r="E91" s="27" t="s">
        <v>43</v>
      </c>
      <c r="F91" s="13" t="s">
        <v>74</v>
      </c>
      <c r="G91" s="14"/>
      <c r="H91" s="14" t="s">
        <v>43</v>
      </c>
      <c r="I91" s="14" t="s">
        <v>43</v>
      </c>
    </row>
    <row r="92" spans="1:9" hidden="1" x14ac:dyDescent="0.25">
      <c r="A92" s="12" t="s">
        <v>574</v>
      </c>
      <c r="B92" s="25" t="s">
        <v>575</v>
      </c>
      <c r="C92" s="1">
        <v>0</v>
      </c>
      <c r="D92" s="1" t="s">
        <v>573</v>
      </c>
      <c r="E92" s="27" t="s">
        <v>43</v>
      </c>
      <c r="F92" s="13"/>
      <c r="G92" s="14"/>
      <c r="H92" s="14" t="s">
        <v>43</v>
      </c>
      <c r="I92" s="14" t="s">
        <v>43</v>
      </c>
    </row>
    <row r="93" spans="1:9" ht="31.5" hidden="1" x14ac:dyDescent="0.25">
      <c r="A93" s="12" t="s">
        <v>577</v>
      </c>
      <c r="B93" s="25" t="s">
        <v>1015</v>
      </c>
      <c r="C93" s="1">
        <v>1</v>
      </c>
      <c r="D93" s="1" t="s">
        <v>1016</v>
      </c>
      <c r="E93" s="27" t="s">
        <v>43</v>
      </c>
      <c r="F93" s="13" t="s">
        <v>74</v>
      </c>
      <c r="G93" s="14"/>
      <c r="H93" s="14" t="s">
        <v>43</v>
      </c>
      <c r="I93" s="14" t="s">
        <v>43</v>
      </c>
    </row>
    <row r="94" spans="1:9" ht="31.5" hidden="1" x14ac:dyDescent="0.25">
      <c r="A94" s="12" t="s">
        <v>583</v>
      </c>
      <c r="B94" s="25" t="s">
        <v>584</v>
      </c>
      <c r="C94" s="1">
        <v>1</v>
      </c>
      <c r="D94" s="1" t="s">
        <v>1017</v>
      </c>
      <c r="E94" s="27" t="s">
        <v>41</v>
      </c>
      <c r="F94" s="13" t="s">
        <v>74</v>
      </c>
      <c r="G94" s="14" t="s">
        <v>45</v>
      </c>
      <c r="H94" s="14" t="s">
        <v>41</v>
      </c>
      <c r="I94" s="14" t="s">
        <v>43</v>
      </c>
    </row>
    <row r="95" spans="1:9" ht="31.5" hidden="1" x14ac:dyDescent="0.25">
      <c r="A95" s="12" t="s">
        <v>590</v>
      </c>
      <c r="B95" s="25" t="s">
        <v>1018</v>
      </c>
      <c r="C95" s="1">
        <v>1</v>
      </c>
      <c r="D95" s="1" t="s">
        <v>1019</v>
      </c>
      <c r="E95" s="27" t="s">
        <v>41</v>
      </c>
      <c r="F95" s="13" t="s">
        <v>56</v>
      </c>
      <c r="G95" s="14"/>
      <c r="H95" s="14" t="s">
        <v>43</v>
      </c>
      <c r="I95" s="14" t="s">
        <v>43</v>
      </c>
    </row>
    <row r="96" spans="1:9" ht="21" hidden="1" x14ac:dyDescent="0.25">
      <c r="A96" s="12" t="s">
        <v>596</v>
      </c>
      <c r="B96" s="25" t="s">
        <v>597</v>
      </c>
      <c r="C96" s="1">
        <v>0</v>
      </c>
      <c r="D96" s="1" t="s">
        <v>595</v>
      </c>
      <c r="E96" s="27" t="s">
        <v>43</v>
      </c>
      <c r="F96" s="13" t="s">
        <v>93</v>
      </c>
      <c r="G96" s="14"/>
      <c r="H96" s="14" t="s">
        <v>43</v>
      </c>
      <c r="I96" s="14" t="s">
        <v>43</v>
      </c>
    </row>
    <row r="97" spans="1:9" ht="31.5" hidden="1" x14ac:dyDescent="0.25">
      <c r="A97" s="12" t="s">
        <v>599</v>
      </c>
      <c r="B97" s="25" t="s">
        <v>1020</v>
      </c>
      <c r="C97" s="1">
        <v>1</v>
      </c>
      <c r="D97" s="1" t="s">
        <v>1021</v>
      </c>
      <c r="E97" s="27" t="s">
        <v>43</v>
      </c>
      <c r="F97" s="13" t="s">
        <v>74</v>
      </c>
      <c r="G97" s="14"/>
      <c r="H97" s="14" t="s">
        <v>41</v>
      </c>
      <c r="I97" s="14" t="s">
        <v>43</v>
      </c>
    </row>
    <row r="98" spans="1:9" ht="31.5" hidden="1" x14ac:dyDescent="0.25">
      <c r="A98" s="12" t="s">
        <v>605</v>
      </c>
      <c r="B98" s="25" t="s">
        <v>1022</v>
      </c>
      <c r="C98" s="1">
        <v>1</v>
      </c>
      <c r="D98" s="1" t="s">
        <v>604</v>
      </c>
      <c r="E98" s="27" t="s">
        <v>43</v>
      </c>
      <c r="F98" s="13" t="s">
        <v>74</v>
      </c>
      <c r="G98" s="14"/>
      <c r="H98" s="14" t="s">
        <v>43</v>
      </c>
      <c r="I98" s="14" t="s">
        <v>43</v>
      </c>
    </row>
    <row r="99" spans="1:9" ht="21" hidden="1" x14ac:dyDescent="0.25">
      <c r="A99" s="12" t="s">
        <v>610</v>
      </c>
      <c r="B99" s="25" t="s">
        <v>1023</v>
      </c>
      <c r="C99" s="1">
        <v>1</v>
      </c>
      <c r="D99" s="1" t="s">
        <v>1024</v>
      </c>
      <c r="E99" s="27" t="s">
        <v>43</v>
      </c>
      <c r="F99" s="13" t="s">
        <v>44</v>
      </c>
      <c r="G99" s="14" t="s">
        <v>45</v>
      </c>
      <c r="H99" s="14" t="s">
        <v>41</v>
      </c>
      <c r="I99" s="14" t="s">
        <v>43</v>
      </c>
    </row>
    <row r="100" spans="1:9" ht="31.5" x14ac:dyDescent="0.25">
      <c r="A100" s="13" t="s">
        <v>616</v>
      </c>
      <c r="B100" s="25" t="s">
        <v>1025</v>
      </c>
      <c r="C100" s="1">
        <v>1</v>
      </c>
      <c r="D100" s="22" t="s">
        <v>1026</v>
      </c>
      <c r="E100" s="27" t="s">
        <v>41</v>
      </c>
      <c r="F100" s="13" t="s">
        <v>74</v>
      </c>
      <c r="G100" s="14" t="s">
        <v>45</v>
      </c>
      <c r="H100" s="14" t="s">
        <v>41</v>
      </c>
      <c r="I100" s="14" t="s">
        <v>41</v>
      </c>
    </row>
    <row r="101" spans="1:9" hidden="1" x14ac:dyDescent="0.25">
      <c r="A101" s="12" t="s">
        <v>622</v>
      </c>
      <c r="B101" s="25" t="s">
        <v>623</v>
      </c>
      <c r="C101" s="1">
        <v>0</v>
      </c>
      <c r="D101" s="1" t="s">
        <v>621</v>
      </c>
      <c r="E101" s="27" t="s">
        <v>43</v>
      </c>
      <c r="F101" s="13"/>
      <c r="G101" s="14"/>
      <c r="H101" s="14" t="s">
        <v>43</v>
      </c>
      <c r="I101" s="14" t="s">
        <v>43</v>
      </c>
    </row>
    <row r="102" spans="1:9" ht="31.5" hidden="1" x14ac:dyDescent="0.25">
      <c r="A102" s="12" t="s">
        <v>625</v>
      </c>
      <c r="B102" s="25" t="s">
        <v>1027</v>
      </c>
      <c r="C102" s="1">
        <v>1</v>
      </c>
      <c r="D102" s="1" t="s">
        <v>1028</v>
      </c>
      <c r="E102" s="27" t="s">
        <v>43</v>
      </c>
      <c r="F102" s="13" t="s">
        <v>56</v>
      </c>
      <c r="G102" s="14"/>
      <c r="H102" s="14" t="s">
        <v>43</v>
      </c>
      <c r="I102" s="14" t="s">
        <v>43</v>
      </c>
    </row>
    <row r="103" spans="1:9" ht="21" hidden="1" x14ac:dyDescent="0.25">
      <c r="A103" s="12" t="s">
        <v>629</v>
      </c>
      <c r="B103" s="25" t="s">
        <v>1029</v>
      </c>
      <c r="C103" s="1">
        <v>1</v>
      </c>
      <c r="D103" s="1" t="s">
        <v>628</v>
      </c>
      <c r="E103" s="27" t="s">
        <v>43</v>
      </c>
      <c r="F103" s="13" t="s">
        <v>93</v>
      </c>
      <c r="G103" s="14"/>
      <c r="H103" s="14" t="s">
        <v>43</v>
      </c>
      <c r="I103" s="14" t="s">
        <v>43</v>
      </c>
    </row>
    <row r="104" spans="1:9" ht="31.5" hidden="1" x14ac:dyDescent="0.25">
      <c r="A104" s="12" t="s">
        <v>633</v>
      </c>
      <c r="B104" s="25" t="s">
        <v>1030</v>
      </c>
      <c r="C104" s="1">
        <v>1</v>
      </c>
      <c r="D104" s="1" t="s">
        <v>632</v>
      </c>
      <c r="E104" s="27" t="s">
        <v>41</v>
      </c>
      <c r="F104" s="13" t="s">
        <v>74</v>
      </c>
      <c r="G104" s="14"/>
      <c r="H104" s="14" t="s">
        <v>41</v>
      </c>
      <c r="I104" s="14" t="s">
        <v>43</v>
      </c>
    </row>
    <row r="105" spans="1:9" ht="31.5" hidden="1" x14ac:dyDescent="0.25">
      <c r="A105" s="12" t="s">
        <v>639</v>
      </c>
      <c r="B105" s="25" t="s">
        <v>640</v>
      </c>
      <c r="C105" s="1">
        <v>0</v>
      </c>
      <c r="D105" s="1" t="s">
        <v>638</v>
      </c>
      <c r="E105" s="27" t="s">
        <v>43</v>
      </c>
      <c r="F105" s="13" t="s">
        <v>56</v>
      </c>
      <c r="G105" s="14"/>
      <c r="H105" s="14" t="s">
        <v>43</v>
      </c>
      <c r="I105" s="14" t="s">
        <v>43</v>
      </c>
    </row>
    <row r="106" spans="1:9" ht="31.5" x14ac:dyDescent="0.25">
      <c r="A106" s="13" t="s">
        <v>642</v>
      </c>
      <c r="B106" s="25" t="s">
        <v>1031</v>
      </c>
      <c r="C106" s="1">
        <v>1</v>
      </c>
      <c r="D106" s="22" t="s">
        <v>1032</v>
      </c>
      <c r="E106" s="27" t="s">
        <v>43</v>
      </c>
      <c r="F106" s="15" t="s">
        <v>74</v>
      </c>
      <c r="G106" s="13" t="s">
        <v>203</v>
      </c>
      <c r="H106" s="14" t="s">
        <v>41</v>
      </c>
      <c r="I106" s="14" t="s">
        <v>41</v>
      </c>
    </row>
    <row r="107" spans="1:9" ht="21" hidden="1" x14ac:dyDescent="0.25">
      <c r="A107" s="12" t="s">
        <v>648</v>
      </c>
      <c r="B107" s="25" t="s">
        <v>1033</v>
      </c>
      <c r="C107" s="1">
        <v>1</v>
      </c>
      <c r="D107" s="1" t="s">
        <v>647</v>
      </c>
      <c r="E107" s="27" t="s">
        <v>43</v>
      </c>
      <c r="F107" s="13" t="s">
        <v>93</v>
      </c>
      <c r="G107" s="14"/>
      <c r="H107" s="14" t="s">
        <v>41</v>
      </c>
      <c r="I107" s="14" t="s">
        <v>43</v>
      </c>
    </row>
    <row r="108" spans="1:9" ht="31.5" hidden="1" x14ac:dyDescent="0.25">
      <c r="A108" s="12" t="s">
        <v>654</v>
      </c>
      <c r="B108" s="25" t="s">
        <v>1034</v>
      </c>
      <c r="C108" s="1">
        <v>1</v>
      </c>
      <c r="D108" s="1" t="s">
        <v>653</v>
      </c>
      <c r="E108" s="27" t="s">
        <v>41</v>
      </c>
      <c r="F108" s="13" t="s">
        <v>74</v>
      </c>
      <c r="G108" s="14" t="s">
        <v>203</v>
      </c>
      <c r="H108" s="14" t="s">
        <v>43</v>
      </c>
      <c r="I108" s="14" t="s">
        <v>43</v>
      </c>
    </row>
    <row r="109" spans="1:9" ht="31.5" hidden="1" x14ac:dyDescent="0.25">
      <c r="A109" s="12" t="s">
        <v>660</v>
      </c>
      <c r="B109" s="25" t="s">
        <v>1035</v>
      </c>
      <c r="C109" s="1">
        <v>1</v>
      </c>
      <c r="D109" s="1" t="s">
        <v>1036</v>
      </c>
      <c r="E109" s="27" t="s">
        <v>43</v>
      </c>
      <c r="F109" s="13" t="s">
        <v>56</v>
      </c>
      <c r="G109" s="14"/>
      <c r="H109" s="14" t="s">
        <v>43</v>
      </c>
      <c r="I109" s="14" t="s">
        <v>43</v>
      </c>
    </row>
    <row r="110" spans="1:9" ht="31.5" hidden="1" x14ac:dyDescent="0.25">
      <c r="A110" s="12" t="s">
        <v>665</v>
      </c>
      <c r="B110" s="25" t="s">
        <v>1037</v>
      </c>
      <c r="C110" s="1">
        <v>1</v>
      </c>
      <c r="D110" s="1" t="s">
        <v>664</v>
      </c>
      <c r="E110" s="27" t="s">
        <v>43</v>
      </c>
      <c r="F110" s="13" t="s">
        <v>56</v>
      </c>
      <c r="G110" s="14"/>
      <c r="H110" s="14" t="s">
        <v>43</v>
      </c>
      <c r="I110" s="14" t="s">
        <v>43</v>
      </c>
    </row>
    <row r="111" spans="1:9" ht="31.5" hidden="1" x14ac:dyDescent="0.25">
      <c r="A111" s="12" t="s">
        <v>671</v>
      </c>
      <c r="B111" s="25" t="s">
        <v>1038</v>
      </c>
      <c r="C111" s="1">
        <v>1</v>
      </c>
      <c r="D111" s="1" t="s">
        <v>1039</v>
      </c>
      <c r="E111" s="27" t="s">
        <v>41</v>
      </c>
      <c r="F111" s="13" t="s">
        <v>74</v>
      </c>
      <c r="G111" s="14"/>
      <c r="H111" s="14" t="s">
        <v>41</v>
      </c>
      <c r="I111" s="14" t="s">
        <v>43</v>
      </c>
    </row>
    <row r="112" spans="1:9" ht="21" hidden="1" x14ac:dyDescent="0.25">
      <c r="A112" s="12" t="s">
        <v>681</v>
      </c>
      <c r="B112" s="25" t="s">
        <v>682</v>
      </c>
      <c r="C112" s="1">
        <v>0</v>
      </c>
      <c r="D112" s="1" t="s">
        <v>680</v>
      </c>
      <c r="E112" s="27" t="s">
        <v>43</v>
      </c>
      <c r="F112" s="13" t="s">
        <v>93</v>
      </c>
      <c r="G112" s="14"/>
      <c r="H112" s="14" t="s">
        <v>43</v>
      </c>
      <c r="I112" s="14" t="s">
        <v>43</v>
      </c>
    </row>
    <row r="113" spans="1:9" ht="21" hidden="1" x14ac:dyDescent="0.25">
      <c r="A113" s="12" t="s">
        <v>684</v>
      </c>
      <c r="B113" s="25" t="s">
        <v>1040</v>
      </c>
      <c r="C113" s="1">
        <v>1</v>
      </c>
      <c r="D113" s="1" t="s">
        <v>683</v>
      </c>
      <c r="E113" s="27" t="s">
        <v>41</v>
      </c>
      <c r="F113" s="15" t="s">
        <v>74</v>
      </c>
      <c r="G113" s="14"/>
      <c r="H113" s="14" t="s">
        <v>43</v>
      </c>
      <c r="I113" s="14" t="s">
        <v>43</v>
      </c>
    </row>
    <row r="114" spans="1:9" ht="21" hidden="1" x14ac:dyDescent="0.25">
      <c r="A114" s="12" t="s">
        <v>690</v>
      </c>
      <c r="B114" s="25" t="s">
        <v>691</v>
      </c>
      <c r="C114" s="1">
        <v>1</v>
      </c>
      <c r="D114" s="1" t="s">
        <v>1041</v>
      </c>
      <c r="E114" s="27" t="s">
        <v>41</v>
      </c>
      <c r="F114" s="15" t="s">
        <v>74</v>
      </c>
      <c r="G114" s="13" t="s">
        <v>45</v>
      </c>
      <c r="H114" s="14" t="s">
        <v>41</v>
      </c>
      <c r="I114" s="14" t="s">
        <v>43</v>
      </c>
    </row>
    <row r="115" spans="1:9" ht="21" hidden="1" x14ac:dyDescent="0.25">
      <c r="A115" s="12" t="s">
        <v>696</v>
      </c>
      <c r="B115" s="25" t="s">
        <v>1042</v>
      </c>
      <c r="C115" s="1">
        <v>1</v>
      </c>
      <c r="D115" s="1" t="s">
        <v>1043</v>
      </c>
      <c r="E115" s="27" t="s">
        <v>43</v>
      </c>
      <c r="F115" s="15" t="s">
        <v>74</v>
      </c>
      <c r="G115" s="14"/>
      <c r="H115" s="14" t="s">
        <v>43</v>
      </c>
      <c r="I115" s="14" t="s">
        <v>43</v>
      </c>
    </row>
    <row r="116" spans="1:9" ht="21" hidden="1" x14ac:dyDescent="0.25">
      <c r="A116" s="12" t="s">
        <v>701</v>
      </c>
      <c r="B116" s="25" t="s">
        <v>1044</v>
      </c>
      <c r="C116" s="1">
        <v>1</v>
      </c>
      <c r="D116" s="1" t="s">
        <v>700</v>
      </c>
      <c r="E116" s="27" t="s">
        <v>43</v>
      </c>
      <c r="F116" s="15" t="s">
        <v>56</v>
      </c>
      <c r="G116" s="14"/>
      <c r="H116" s="14" t="s">
        <v>43</v>
      </c>
      <c r="I116" s="14" t="s">
        <v>43</v>
      </c>
    </row>
    <row r="117" spans="1:9" ht="21" hidden="1" x14ac:dyDescent="0.25">
      <c r="A117" s="12" t="s">
        <v>706</v>
      </c>
      <c r="B117" s="25" t="s">
        <v>1045</v>
      </c>
      <c r="C117" s="1">
        <v>1</v>
      </c>
      <c r="D117" s="1" t="s">
        <v>705</v>
      </c>
      <c r="E117" s="27" t="s">
        <v>41</v>
      </c>
      <c r="F117" s="15" t="s">
        <v>44</v>
      </c>
      <c r="G117" s="13" t="s">
        <v>45</v>
      </c>
      <c r="H117" s="14" t="s">
        <v>41</v>
      </c>
      <c r="I117" s="14" t="s">
        <v>43</v>
      </c>
    </row>
    <row r="118" spans="1:9" ht="21" hidden="1" x14ac:dyDescent="0.25">
      <c r="A118" s="12" t="s">
        <v>712</v>
      </c>
      <c r="B118" s="25" t="s">
        <v>1046</v>
      </c>
      <c r="C118" s="1">
        <v>1</v>
      </c>
      <c r="D118" s="1" t="s">
        <v>1047</v>
      </c>
      <c r="E118" s="27" t="s">
        <v>43</v>
      </c>
      <c r="F118" s="13" t="s">
        <v>93</v>
      </c>
      <c r="G118" s="14"/>
      <c r="H118" s="14" t="s">
        <v>41</v>
      </c>
      <c r="I118" s="14" t="s">
        <v>43</v>
      </c>
    </row>
    <row r="119" spans="1:9" ht="21" hidden="1" x14ac:dyDescent="0.25">
      <c r="A119" s="12" t="s">
        <v>718</v>
      </c>
      <c r="B119" s="25" t="s">
        <v>1048</v>
      </c>
      <c r="C119" s="1">
        <v>1</v>
      </c>
      <c r="D119" s="1" t="s">
        <v>717</v>
      </c>
      <c r="E119" s="27" t="s">
        <v>41</v>
      </c>
      <c r="F119" s="13" t="s">
        <v>44</v>
      </c>
      <c r="G119" s="14"/>
      <c r="H119" s="14" t="s">
        <v>43</v>
      </c>
      <c r="I119" s="14" t="s">
        <v>43</v>
      </c>
    </row>
    <row r="120" spans="1:9" ht="31.5" hidden="1" x14ac:dyDescent="0.25">
      <c r="A120" s="12" t="s">
        <v>724</v>
      </c>
      <c r="B120" s="25" t="s">
        <v>725</v>
      </c>
      <c r="C120" s="1">
        <v>0</v>
      </c>
      <c r="D120" s="1" t="s">
        <v>723</v>
      </c>
      <c r="E120" s="27" t="s">
        <v>43</v>
      </c>
      <c r="F120" s="13" t="s">
        <v>74</v>
      </c>
      <c r="G120" s="14"/>
      <c r="H120" s="14" t="s">
        <v>43</v>
      </c>
      <c r="I120" s="14" t="s">
        <v>43</v>
      </c>
    </row>
    <row r="121" spans="1:9" ht="21" hidden="1" x14ac:dyDescent="0.25">
      <c r="A121" s="12" t="s">
        <v>727</v>
      </c>
      <c r="B121" s="25" t="s">
        <v>1049</v>
      </c>
      <c r="C121" s="1">
        <v>1</v>
      </c>
      <c r="D121" s="1" t="s">
        <v>726</v>
      </c>
      <c r="E121" s="27" t="s">
        <v>43</v>
      </c>
      <c r="F121" s="15" t="s">
        <v>74</v>
      </c>
      <c r="G121" s="14"/>
      <c r="H121" s="14" t="s">
        <v>43</v>
      </c>
      <c r="I121" s="14" t="s">
        <v>43</v>
      </c>
    </row>
    <row r="122" spans="1:9" ht="21" hidden="1" x14ac:dyDescent="0.25">
      <c r="A122" s="12" t="s">
        <v>115</v>
      </c>
      <c r="B122" s="25" t="s">
        <v>1050</v>
      </c>
      <c r="C122" s="1">
        <v>1</v>
      </c>
      <c r="D122" s="1" t="s">
        <v>730</v>
      </c>
      <c r="E122" s="27" t="s">
        <v>43</v>
      </c>
      <c r="F122" s="13" t="s">
        <v>93</v>
      </c>
      <c r="G122" s="14"/>
      <c r="H122" s="14" t="s">
        <v>43</v>
      </c>
      <c r="I122" s="14" t="s">
        <v>43</v>
      </c>
    </row>
    <row r="123" spans="1:9" ht="31.5" hidden="1" x14ac:dyDescent="0.25">
      <c r="A123" s="12" t="s">
        <v>736</v>
      </c>
      <c r="B123" s="25" t="s">
        <v>1051</v>
      </c>
      <c r="C123" s="1">
        <v>1</v>
      </c>
      <c r="D123" s="1" t="s">
        <v>735</v>
      </c>
      <c r="E123" s="27" t="s">
        <v>43</v>
      </c>
      <c r="F123" s="13" t="s">
        <v>74</v>
      </c>
      <c r="G123" s="14"/>
      <c r="H123" s="14" t="s">
        <v>43</v>
      </c>
      <c r="I123" s="14" t="s">
        <v>43</v>
      </c>
    </row>
    <row r="124" spans="1:9" ht="31.5" hidden="1" x14ac:dyDescent="0.25">
      <c r="A124" s="12" t="s">
        <v>741</v>
      </c>
      <c r="B124" s="25" t="s">
        <v>1052</v>
      </c>
      <c r="C124" s="1">
        <v>1</v>
      </c>
      <c r="D124" s="1" t="s">
        <v>740</v>
      </c>
      <c r="E124" s="27" t="s">
        <v>43</v>
      </c>
      <c r="F124" s="13" t="s">
        <v>56</v>
      </c>
      <c r="G124" s="14"/>
      <c r="H124" s="14" t="s">
        <v>43</v>
      </c>
      <c r="I124" s="14" t="s">
        <v>43</v>
      </c>
    </row>
    <row r="125" spans="1:9" ht="21" hidden="1" x14ac:dyDescent="0.25">
      <c r="A125" s="12" t="s">
        <v>746</v>
      </c>
      <c r="B125" s="25" t="s">
        <v>1053</v>
      </c>
      <c r="C125" s="1">
        <v>1</v>
      </c>
      <c r="D125" s="1" t="s">
        <v>1054</v>
      </c>
      <c r="E125" s="27" t="s">
        <v>43</v>
      </c>
      <c r="F125" s="13" t="s">
        <v>44</v>
      </c>
      <c r="G125" s="14"/>
      <c r="H125" s="14" t="s">
        <v>43</v>
      </c>
      <c r="I125" s="14" t="s">
        <v>43</v>
      </c>
    </row>
    <row r="126" spans="1:9" ht="31.5" hidden="1" x14ac:dyDescent="0.25">
      <c r="A126" s="12" t="s">
        <v>752</v>
      </c>
      <c r="B126" s="25" t="s">
        <v>753</v>
      </c>
      <c r="C126" s="1">
        <v>0</v>
      </c>
      <c r="D126" s="1" t="s">
        <v>751</v>
      </c>
      <c r="E126" s="27" t="s">
        <v>43</v>
      </c>
      <c r="F126" s="13" t="s">
        <v>74</v>
      </c>
      <c r="G126" s="14" t="s">
        <v>203</v>
      </c>
      <c r="H126" s="14" t="s">
        <v>43</v>
      </c>
      <c r="I126" s="14" t="s">
        <v>43</v>
      </c>
    </row>
    <row r="127" spans="1:9" ht="21" x14ac:dyDescent="0.25">
      <c r="A127" s="13" t="s">
        <v>755</v>
      </c>
      <c r="B127" s="25" t="s">
        <v>1055</v>
      </c>
      <c r="C127" s="1">
        <v>1</v>
      </c>
      <c r="D127" s="22" t="s">
        <v>754</v>
      </c>
      <c r="E127" s="27" t="s">
        <v>43</v>
      </c>
      <c r="F127" s="13" t="s">
        <v>44</v>
      </c>
      <c r="G127" s="14" t="s">
        <v>45</v>
      </c>
      <c r="H127" s="14" t="s">
        <v>41</v>
      </c>
      <c r="I127" s="14" t="s">
        <v>41</v>
      </c>
    </row>
    <row r="128" spans="1:9" ht="31.5" hidden="1" x14ac:dyDescent="0.25">
      <c r="A128" s="12" t="s">
        <v>761</v>
      </c>
      <c r="B128" s="25" t="s">
        <v>1056</v>
      </c>
      <c r="C128" s="1">
        <v>1</v>
      </c>
      <c r="D128" s="1" t="s">
        <v>1057</v>
      </c>
      <c r="E128" s="27" t="s">
        <v>41</v>
      </c>
      <c r="F128" s="13" t="s">
        <v>56</v>
      </c>
      <c r="G128" s="14"/>
      <c r="H128" s="14" t="s">
        <v>43</v>
      </c>
      <c r="I128" s="14" t="s">
        <v>43</v>
      </c>
    </row>
    <row r="129" spans="1:9" ht="21" x14ac:dyDescent="0.25">
      <c r="A129" s="13" t="s">
        <v>766</v>
      </c>
      <c r="B129" s="25" t="s">
        <v>1058</v>
      </c>
      <c r="C129" s="1">
        <v>1</v>
      </c>
      <c r="D129" s="22" t="s">
        <v>765</v>
      </c>
      <c r="E129" s="27" t="s">
        <v>43</v>
      </c>
      <c r="F129" s="13" t="s">
        <v>44</v>
      </c>
      <c r="G129" s="14" t="s">
        <v>45</v>
      </c>
      <c r="H129" s="14" t="s">
        <v>41</v>
      </c>
      <c r="I129" s="14" t="s">
        <v>41</v>
      </c>
    </row>
    <row r="130" spans="1:9" ht="31.5" hidden="1" x14ac:dyDescent="0.25">
      <c r="A130" s="12" t="s">
        <v>772</v>
      </c>
      <c r="B130" s="25" t="s">
        <v>773</v>
      </c>
      <c r="C130" s="1">
        <v>1</v>
      </c>
      <c r="D130" s="1" t="s">
        <v>1059</v>
      </c>
      <c r="E130" s="27" t="s">
        <v>43</v>
      </c>
      <c r="F130" s="13" t="s">
        <v>74</v>
      </c>
      <c r="G130" s="14"/>
      <c r="H130" s="14" t="s">
        <v>41</v>
      </c>
      <c r="I130" s="14" t="s">
        <v>43</v>
      </c>
    </row>
    <row r="131" spans="1:9" ht="21" hidden="1" x14ac:dyDescent="0.25">
      <c r="A131" s="12" t="s">
        <v>779</v>
      </c>
      <c r="B131" s="25" t="s">
        <v>780</v>
      </c>
      <c r="C131" s="1">
        <v>0</v>
      </c>
      <c r="D131" s="1" t="s">
        <v>778</v>
      </c>
      <c r="E131" s="27" t="s">
        <v>43</v>
      </c>
      <c r="F131" s="13" t="s">
        <v>93</v>
      </c>
      <c r="G131" s="14"/>
      <c r="H131" s="14" t="s">
        <v>43</v>
      </c>
      <c r="I131" s="14" t="s">
        <v>43</v>
      </c>
    </row>
    <row r="132" spans="1:9" ht="31.5" hidden="1" x14ac:dyDescent="0.25">
      <c r="A132" s="12" t="s">
        <v>782</v>
      </c>
      <c r="B132" s="25" t="s">
        <v>783</v>
      </c>
      <c r="C132" s="1">
        <v>0</v>
      </c>
      <c r="D132" s="1" t="s">
        <v>781</v>
      </c>
      <c r="E132" s="27" t="s">
        <v>43</v>
      </c>
      <c r="F132" s="13" t="s">
        <v>56</v>
      </c>
      <c r="G132" s="14"/>
      <c r="H132" s="14" t="s">
        <v>43</v>
      </c>
      <c r="I132" s="14" t="s">
        <v>43</v>
      </c>
    </row>
    <row r="133" spans="1:9" ht="31.5" hidden="1" x14ac:dyDescent="0.25">
      <c r="A133" s="12" t="s">
        <v>785</v>
      </c>
      <c r="B133" s="25" t="s">
        <v>786</v>
      </c>
      <c r="C133" s="1">
        <v>0</v>
      </c>
      <c r="D133" s="1" t="s">
        <v>784</v>
      </c>
      <c r="E133" s="27" t="s">
        <v>43</v>
      </c>
      <c r="F133" s="13" t="s">
        <v>56</v>
      </c>
      <c r="G133" s="14"/>
      <c r="H133" s="14" t="s">
        <v>43</v>
      </c>
      <c r="I133" s="14" t="s">
        <v>43</v>
      </c>
    </row>
    <row r="134" spans="1:9" ht="21" x14ac:dyDescent="0.25">
      <c r="A134" s="13" t="s">
        <v>788</v>
      </c>
      <c r="B134" s="25" t="s">
        <v>1060</v>
      </c>
      <c r="C134" s="1">
        <v>1</v>
      </c>
      <c r="D134" s="22" t="s">
        <v>1061</v>
      </c>
      <c r="E134" s="27" t="s">
        <v>43</v>
      </c>
      <c r="F134" s="13" t="s">
        <v>44</v>
      </c>
      <c r="G134" s="14" t="s">
        <v>203</v>
      </c>
      <c r="H134" s="14" t="s">
        <v>41</v>
      </c>
      <c r="I134" s="14" t="s">
        <v>41</v>
      </c>
    </row>
    <row r="135" spans="1:9" ht="31.5" hidden="1" x14ac:dyDescent="0.25">
      <c r="A135" s="12" t="s">
        <v>794</v>
      </c>
      <c r="B135" s="25" t="s">
        <v>795</v>
      </c>
      <c r="C135" s="1">
        <v>0</v>
      </c>
      <c r="D135" s="1" t="s">
        <v>793</v>
      </c>
      <c r="E135" s="27" t="s">
        <v>43</v>
      </c>
      <c r="F135" s="13" t="s">
        <v>56</v>
      </c>
      <c r="G135" s="14"/>
      <c r="H135" s="14" t="s">
        <v>43</v>
      </c>
      <c r="I135" s="14" t="s">
        <v>43</v>
      </c>
    </row>
    <row r="136" spans="1:9" x14ac:dyDescent="0.25">
      <c r="A136" s="13" t="s">
        <v>797</v>
      </c>
      <c r="B136" s="25" t="s">
        <v>1062</v>
      </c>
      <c r="C136" s="1">
        <v>1</v>
      </c>
      <c r="D136" s="22" t="s">
        <v>796</v>
      </c>
      <c r="E136" s="27" t="s">
        <v>43</v>
      </c>
      <c r="F136" s="15" t="s">
        <v>44</v>
      </c>
      <c r="G136" s="13" t="s">
        <v>45</v>
      </c>
      <c r="H136" s="14" t="s">
        <v>41</v>
      </c>
      <c r="I136" s="14" t="s">
        <v>41</v>
      </c>
    </row>
    <row r="137" spans="1:9" ht="31.5" hidden="1" x14ac:dyDescent="0.25">
      <c r="A137" s="12" t="s">
        <v>803</v>
      </c>
      <c r="B137" s="25" t="s">
        <v>1063</v>
      </c>
      <c r="C137" s="1">
        <v>1</v>
      </c>
      <c r="D137" s="1" t="s">
        <v>1064</v>
      </c>
      <c r="E137" s="27" t="s">
        <v>43</v>
      </c>
      <c r="F137" s="13" t="s">
        <v>74</v>
      </c>
      <c r="G137" s="14"/>
      <c r="H137" s="14" t="s">
        <v>43</v>
      </c>
      <c r="I137" s="14" t="s">
        <v>43</v>
      </c>
    </row>
    <row r="138" spans="1:9" ht="31.5" hidden="1" x14ac:dyDescent="0.25">
      <c r="A138" s="20" t="s">
        <v>808</v>
      </c>
      <c r="B138" s="25" t="s">
        <v>1065</v>
      </c>
      <c r="C138" s="1">
        <v>1</v>
      </c>
      <c r="D138" s="21" t="s">
        <v>1066</v>
      </c>
      <c r="E138" s="27" t="s">
        <v>43</v>
      </c>
      <c r="F138" s="13" t="s">
        <v>56</v>
      </c>
      <c r="G138" s="14"/>
      <c r="H138" s="14" t="s">
        <v>43</v>
      </c>
      <c r="I138" s="14" t="s">
        <v>43</v>
      </c>
    </row>
    <row r="139" spans="1:9" ht="31.5" hidden="1" x14ac:dyDescent="0.25">
      <c r="A139" s="12" t="s">
        <v>813</v>
      </c>
      <c r="B139" s="25" t="s">
        <v>1067</v>
      </c>
      <c r="C139" s="1">
        <v>1</v>
      </c>
      <c r="D139" s="23" t="s">
        <v>1068</v>
      </c>
      <c r="E139" s="27" t="s">
        <v>43</v>
      </c>
      <c r="F139" s="13" t="s">
        <v>74</v>
      </c>
      <c r="G139" s="14" t="s">
        <v>203</v>
      </c>
      <c r="H139" s="14" t="s">
        <v>43</v>
      </c>
      <c r="I139" s="14" t="s">
        <v>43</v>
      </c>
    </row>
    <row r="140" spans="1:9" ht="21" hidden="1" x14ac:dyDescent="0.25">
      <c r="A140" s="12" t="s">
        <v>819</v>
      </c>
      <c r="B140" s="25" t="s">
        <v>1069</v>
      </c>
      <c r="C140" s="1">
        <v>1</v>
      </c>
      <c r="D140" s="23" t="s">
        <v>818</v>
      </c>
      <c r="E140" s="27" t="s">
        <v>43</v>
      </c>
      <c r="F140" s="13" t="s">
        <v>44</v>
      </c>
      <c r="G140" s="14"/>
      <c r="H140" s="14" t="s">
        <v>43</v>
      </c>
      <c r="I140" s="14" t="s">
        <v>43</v>
      </c>
    </row>
    <row r="141" spans="1:9" hidden="1" x14ac:dyDescent="0.25">
      <c r="A141" s="12" t="s">
        <v>825</v>
      </c>
      <c r="B141" s="25" t="s">
        <v>826</v>
      </c>
      <c r="C141" s="1">
        <v>0</v>
      </c>
      <c r="D141" s="23" t="s">
        <v>824</v>
      </c>
      <c r="E141" s="27" t="s">
        <v>43</v>
      </c>
      <c r="F141" s="13"/>
      <c r="G141" s="14"/>
      <c r="H141" s="14" t="s">
        <v>43</v>
      </c>
      <c r="I141" s="14" t="s">
        <v>43</v>
      </c>
    </row>
    <row r="142" spans="1:9" ht="31.5" hidden="1" x14ac:dyDescent="0.25">
      <c r="A142" s="12" t="s">
        <v>828</v>
      </c>
      <c r="B142" s="25" t="s">
        <v>829</v>
      </c>
      <c r="C142" s="1">
        <v>0</v>
      </c>
      <c r="D142" s="23" t="s">
        <v>827</v>
      </c>
      <c r="E142" s="27" t="s">
        <v>43</v>
      </c>
      <c r="F142" s="13" t="s">
        <v>56</v>
      </c>
      <c r="G142" s="14"/>
      <c r="H142" s="14" t="s">
        <v>43</v>
      </c>
      <c r="I142" s="14" t="s">
        <v>43</v>
      </c>
    </row>
    <row r="143" spans="1:9" ht="21" hidden="1" x14ac:dyDescent="0.25">
      <c r="A143" s="12" t="s">
        <v>831</v>
      </c>
      <c r="B143" s="25" t="s">
        <v>832</v>
      </c>
      <c r="C143" s="1">
        <v>0</v>
      </c>
      <c r="D143" s="23" t="s">
        <v>830</v>
      </c>
      <c r="E143" s="27" t="s">
        <v>43</v>
      </c>
      <c r="F143" s="15" t="s">
        <v>93</v>
      </c>
      <c r="G143" s="14"/>
      <c r="H143" s="14" t="s">
        <v>43</v>
      </c>
      <c r="I143" s="14" t="s">
        <v>43</v>
      </c>
    </row>
    <row r="144" spans="1:9" ht="31.5" hidden="1" x14ac:dyDescent="0.25">
      <c r="A144" s="12" t="s">
        <v>834</v>
      </c>
      <c r="B144" s="25" t="s">
        <v>1070</v>
      </c>
      <c r="C144" s="1">
        <v>1</v>
      </c>
      <c r="D144" s="23" t="s">
        <v>833</v>
      </c>
      <c r="E144" s="27" t="s">
        <v>43</v>
      </c>
      <c r="F144" s="13" t="s">
        <v>74</v>
      </c>
      <c r="G144" s="14"/>
      <c r="H144" s="14" t="s">
        <v>43</v>
      </c>
      <c r="I144" s="14" t="s">
        <v>43</v>
      </c>
    </row>
    <row r="145" spans="1:9" hidden="1" x14ac:dyDescent="0.25">
      <c r="A145" s="12" t="s">
        <v>1101</v>
      </c>
      <c r="B145" s="25" t="s">
        <v>1071</v>
      </c>
      <c r="C145" s="1">
        <v>1</v>
      </c>
      <c r="D145" s="23" t="s">
        <v>838</v>
      </c>
      <c r="E145" s="27" t="s">
        <v>43</v>
      </c>
      <c r="F145" s="15" t="s">
        <v>56</v>
      </c>
      <c r="G145" s="14"/>
      <c r="H145" s="14" t="s">
        <v>41</v>
      </c>
      <c r="I145" s="14" t="s">
        <v>43</v>
      </c>
    </row>
    <row r="146" spans="1:9" ht="31.5" hidden="1" x14ac:dyDescent="0.25">
      <c r="A146" s="12" t="s">
        <v>845</v>
      </c>
      <c r="B146" s="25" t="s">
        <v>1072</v>
      </c>
      <c r="C146" s="1">
        <v>1</v>
      </c>
      <c r="D146" s="23" t="s">
        <v>1073</v>
      </c>
      <c r="E146" s="27" t="s">
        <v>43</v>
      </c>
      <c r="F146" s="13" t="s">
        <v>56</v>
      </c>
      <c r="G146" s="14"/>
      <c r="H146" s="14" t="s">
        <v>43</v>
      </c>
      <c r="I146" s="14" t="s">
        <v>43</v>
      </c>
    </row>
    <row r="147" spans="1:9" ht="31.5" hidden="1" x14ac:dyDescent="0.25">
      <c r="A147" s="12" t="s">
        <v>849</v>
      </c>
      <c r="B147" s="25" t="s">
        <v>850</v>
      </c>
      <c r="C147" s="1">
        <v>0</v>
      </c>
      <c r="D147" s="23" t="s">
        <v>848</v>
      </c>
      <c r="E147" s="27" t="s">
        <v>43</v>
      </c>
      <c r="F147" s="13" t="s">
        <v>93</v>
      </c>
      <c r="G147" s="14"/>
      <c r="H147" s="14" t="s">
        <v>43</v>
      </c>
      <c r="I147" s="14" t="s">
        <v>43</v>
      </c>
    </row>
    <row r="148" spans="1:9" ht="31.5" hidden="1" x14ac:dyDescent="0.25">
      <c r="A148" s="12" t="s">
        <v>852</v>
      </c>
      <c r="B148" s="25" t="s">
        <v>853</v>
      </c>
      <c r="C148" s="1">
        <v>0</v>
      </c>
      <c r="D148" s="23" t="s">
        <v>851</v>
      </c>
      <c r="E148" s="27" t="s">
        <v>43</v>
      </c>
      <c r="F148" s="13" t="s">
        <v>56</v>
      </c>
      <c r="G148" s="14" t="s">
        <v>203</v>
      </c>
      <c r="H148" s="14" t="s">
        <v>43</v>
      </c>
      <c r="I148" s="14" t="s">
        <v>43</v>
      </c>
    </row>
    <row r="149" spans="1:9" hidden="1" x14ac:dyDescent="0.25">
      <c r="A149" s="12" t="s">
        <v>855</v>
      </c>
      <c r="B149" s="25" t="s">
        <v>856</v>
      </c>
      <c r="C149" s="1">
        <v>0</v>
      </c>
      <c r="D149" s="23" t="s">
        <v>854</v>
      </c>
      <c r="E149" s="27" t="s">
        <v>43</v>
      </c>
      <c r="F149" s="15" t="s">
        <v>93</v>
      </c>
      <c r="G149" s="14"/>
      <c r="H149" s="14" t="s">
        <v>43</v>
      </c>
      <c r="I149" s="14" t="s">
        <v>43</v>
      </c>
    </row>
    <row r="150" spans="1:9" ht="21" hidden="1" x14ac:dyDescent="0.25">
      <c r="A150" s="12" t="s">
        <v>858</v>
      </c>
      <c r="B150" s="25" t="s">
        <v>1074</v>
      </c>
      <c r="C150" s="1">
        <v>1</v>
      </c>
      <c r="D150" s="23" t="s">
        <v>1075</v>
      </c>
      <c r="E150" s="27" t="s">
        <v>41</v>
      </c>
      <c r="F150" s="13" t="s">
        <v>44</v>
      </c>
      <c r="G150" s="14"/>
      <c r="H150" s="14" t="s">
        <v>41</v>
      </c>
      <c r="I150" s="14" t="s">
        <v>43</v>
      </c>
    </row>
    <row r="151" spans="1:9" ht="31.5" x14ac:dyDescent="0.25">
      <c r="A151" s="13" t="s">
        <v>864</v>
      </c>
      <c r="B151" s="25" t="s">
        <v>1076</v>
      </c>
      <c r="C151" s="1">
        <v>1</v>
      </c>
      <c r="D151" s="29" t="s">
        <v>863</v>
      </c>
      <c r="E151" s="27" t="s">
        <v>41</v>
      </c>
      <c r="F151" s="13" t="s">
        <v>74</v>
      </c>
      <c r="G151" s="14" t="s">
        <v>45</v>
      </c>
      <c r="H151" s="14" t="s">
        <v>41</v>
      </c>
      <c r="I151" s="14" t="s">
        <v>41</v>
      </c>
    </row>
    <row r="152" spans="1:9" ht="21" hidden="1" x14ac:dyDescent="0.25">
      <c r="A152" s="12" t="s">
        <v>869</v>
      </c>
      <c r="B152" s="25" t="s">
        <v>1077</v>
      </c>
      <c r="C152" s="1">
        <v>1</v>
      </c>
      <c r="D152" s="23" t="s">
        <v>1078</v>
      </c>
      <c r="E152" s="27" t="s">
        <v>41</v>
      </c>
      <c r="F152" s="15" t="s">
        <v>74</v>
      </c>
      <c r="G152" s="14"/>
      <c r="H152" s="14" t="s">
        <v>43</v>
      </c>
      <c r="I152" s="14" t="s">
        <v>43</v>
      </c>
    </row>
    <row r="153" spans="1:9" ht="21" hidden="1" x14ac:dyDescent="0.25">
      <c r="A153" s="12" t="s">
        <v>874</v>
      </c>
      <c r="B153" s="25" t="s">
        <v>1079</v>
      </c>
      <c r="C153" s="1">
        <v>1</v>
      </c>
      <c r="D153" s="23" t="s">
        <v>1080</v>
      </c>
      <c r="E153" s="27" t="s">
        <v>43</v>
      </c>
      <c r="F153" s="13" t="s">
        <v>93</v>
      </c>
      <c r="G153" s="14"/>
      <c r="H153" s="14" t="s">
        <v>43</v>
      </c>
      <c r="I153" s="14" t="s">
        <v>43</v>
      </c>
    </row>
    <row r="154" spans="1:9" ht="31.5" hidden="1" x14ac:dyDescent="0.25">
      <c r="A154" s="12" t="s">
        <v>878</v>
      </c>
      <c r="B154" s="25" t="s">
        <v>1081</v>
      </c>
      <c r="C154" s="1">
        <v>0</v>
      </c>
      <c r="D154" s="23" t="s">
        <v>877</v>
      </c>
      <c r="E154" s="27" t="s">
        <v>43</v>
      </c>
      <c r="F154" s="13" t="s">
        <v>74</v>
      </c>
      <c r="G154" s="14"/>
      <c r="H154" s="14" t="s">
        <v>43</v>
      </c>
      <c r="I154" s="14" t="s">
        <v>43</v>
      </c>
    </row>
    <row r="155" spans="1:9" ht="31.5" x14ac:dyDescent="0.25">
      <c r="A155" s="13" t="s">
        <v>880</v>
      </c>
      <c r="B155" s="25" t="s">
        <v>1082</v>
      </c>
      <c r="C155" s="1">
        <v>1</v>
      </c>
      <c r="D155" s="29" t="s">
        <v>1083</v>
      </c>
      <c r="E155" s="27" t="s">
        <v>43</v>
      </c>
      <c r="F155" s="13"/>
      <c r="G155" s="13" t="s">
        <v>203</v>
      </c>
      <c r="H155" s="14" t="s">
        <v>41</v>
      </c>
      <c r="I155" s="14" t="s">
        <v>41</v>
      </c>
    </row>
    <row r="156" spans="1:9" ht="31.5" hidden="1" x14ac:dyDescent="0.25">
      <c r="A156" s="12" t="s">
        <v>886</v>
      </c>
      <c r="B156" s="25" t="s">
        <v>1084</v>
      </c>
      <c r="C156" s="1">
        <v>1</v>
      </c>
      <c r="D156" s="23" t="s">
        <v>1085</v>
      </c>
      <c r="E156" s="27" t="s">
        <v>43</v>
      </c>
      <c r="F156" s="13" t="s">
        <v>74</v>
      </c>
      <c r="G156" s="14"/>
      <c r="H156" s="14" t="s">
        <v>43</v>
      </c>
      <c r="I156" s="14" t="s">
        <v>43</v>
      </c>
    </row>
    <row r="157" spans="1:9" x14ac:dyDescent="0.25">
      <c r="A157" s="13" t="s">
        <v>892</v>
      </c>
      <c r="B157" s="25" t="s">
        <v>1086</v>
      </c>
      <c r="C157" s="1">
        <v>1</v>
      </c>
      <c r="D157" s="29" t="s">
        <v>891</v>
      </c>
      <c r="E157" s="27" t="s">
        <v>43</v>
      </c>
      <c r="F157" s="15" t="s">
        <v>44</v>
      </c>
      <c r="G157" s="13" t="s">
        <v>45</v>
      </c>
      <c r="H157" s="14" t="s">
        <v>41</v>
      </c>
      <c r="I157" s="14" t="s">
        <v>41</v>
      </c>
    </row>
    <row r="158" spans="1:9" ht="21" hidden="1" x14ac:dyDescent="0.25">
      <c r="A158" s="12" t="s">
        <v>898</v>
      </c>
      <c r="B158" s="25" t="s">
        <v>1087</v>
      </c>
      <c r="C158" s="1">
        <v>1</v>
      </c>
      <c r="D158" s="23" t="s">
        <v>1088</v>
      </c>
      <c r="E158" s="27" t="s">
        <v>41</v>
      </c>
      <c r="F158" s="13" t="s">
        <v>44</v>
      </c>
      <c r="G158" s="14"/>
      <c r="H158" s="14" t="s">
        <v>43</v>
      </c>
      <c r="I158" s="14" t="s">
        <v>43</v>
      </c>
    </row>
    <row r="159" spans="1:9" ht="31.5" hidden="1" x14ac:dyDescent="0.25">
      <c r="A159" s="12" t="s">
        <v>904</v>
      </c>
      <c r="B159" s="25" t="s">
        <v>1089</v>
      </c>
      <c r="C159" s="1">
        <v>1</v>
      </c>
      <c r="D159" s="23" t="s">
        <v>1090</v>
      </c>
      <c r="E159" s="27" t="s">
        <v>41</v>
      </c>
      <c r="F159" s="13" t="s">
        <v>74</v>
      </c>
      <c r="G159" s="14" t="s">
        <v>203</v>
      </c>
      <c r="H159" s="14" t="s">
        <v>41</v>
      </c>
      <c r="I159" s="14" t="s">
        <v>43</v>
      </c>
    </row>
  </sheetData>
  <autoFilter ref="A1:I159" xr:uid="{E5F1D3EC-ECD1-4641-93BC-E94E63078A6B}">
    <filterColumn colId="8">
      <filters>
        <filter val="Yes"/>
      </filters>
    </filterColumn>
    <sortState xmlns:xlrd2="http://schemas.microsoft.com/office/spreadsheetml/2017/richdata2" ref="A2:I159">
      <sortCondition ref="A1:A159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ECDE-DB9D-48C3-9628-21D3A320A4AB}">
  <dimension ref="C5:H162"/>
  <sheetViews>
    <sheetView zoomScaleNormal="100" workbookViewId="0">
      <selection activeCell="C5" sqref="C5"/>
    </sheetView>
  </sheetViews>
  <sheetFormatPr defaultRowHeight="15" x14ac:dyDescent="0.25"/>
  <cols>
    <col min="3" max="3" width="9" style="9"/>
    <col min="5" max="5" width="9" style="8"/>
    <col min="6" max="6" width="11.140625" style="6" customWidth="1"/>
    <col min="7" max="8" width="9" style="6"/>
  </cols>
  <sheetData>
    <row r="5" spans="3:8" ht="99.75" customHeight="1" x14ac:dyDescent="0.25">
      <c r="C5" s="18" t="s">
        <v>23</v>
      </c>
      <c r="D5" s="18" t="s">
        <v>11</v>
      </c>
      <c r="E5" s="18" t="s">
        <v>14</v>
      </c>
      <c r="F5" s="18" t="s">
        <v>16</v>
      </c>
      <c r="G5" s="18" t="s">
        <v>18</v>
      </c>
      <c r="H5" s="18" t="s">
        <v>20</v>
      </c>
    </row>
    <row r="6" spans="3:8" ht="21" x14ac:dyDescent="0.25">
      <c r="C6" s="5" t="s">
        <v>36</v>
      </c>
      <c r="D6" s="4" t="s">
        <v>35</v>
      </c>
      <c r="E6" s="7" t="s">
        <v>44</v>
      </c>
      <c r="F6" s="6" t="s">
        <v>45</v>
      </c>
      <c r="G6" s="6" t="s">
        <v>41</v>
      </c>
      <c r="H6" s="6" t="s">
        <v>41</v>
      </c>
    </row>
    <row r="7" spans="3:8" ht="31.5" x14ac:dyDescent="0.25">
      <c r="C7" s="5" t="s">
        <v>51</v>
      </c>
      <c r="D7" s="4" t="s">
        <v>50</v>
      </c>
      <c r="E7" s="7" t="s">
        <v>56</v>
      </c>
      <c r="G7" s="6" t="s">
        <v>43</v>
      </c>
      <c r="H7" s="6" t="s">
        <v>43</v>
      </c>
    </row>
    <row r="8" spans="3:8" ht="31.5" x14ac:dyDescent="0.25">
      <c r="C8" s="5" t="s">
        <v>62</v>
      </c>
      <c r="D8" s="4" t="s">
        <v>910</v>
      </c>
      <c r="E8" s="7" t="s">
        <v>74</v>
      </c>
      <c r="G8" s="6" t="s">
        <v>43</v>
      </c>
      <c r="H8" s="6" t="s">
        <v>43</v>
      </c>
    </row>
    <row r="9" spans="3:8" ht="31.5" x14ac:dyDescent="0.25">
      <c r="C9" s="5" t="s">
        <v>71</v>
      </c>
      <c r="D9" s="4" t="s">
        <v>912</v>
      </c>
      <c r="E9" s="7" t="s">
        <v>74</v>
      </c>
      <c r="G9" s="6" t="s">
        <v>41</v>
      </c>
      <c r="H9" s="6" t="s">
        <v>43</v>
      </c>
    </row>
    <row r="10" spans="3:8" x14ac:dyDescent="0.25">
      <c r="C10" s="5" t="s">
        <v>81</v>
      </c>
      <c r="D10" s="4" t="s">
        <v>80</v>
      </c>
      <c r="E10" s="7"/>
      <c r="G10" s="6" t="s">
        <v>43</v>
      </c>
      <c r="H10" s="6" t="s">
        <v>43</v>
      </c>
    </row>
    <row r="11" spans="3:8" ht="21" x14ac:dyDescent="0.25">
      <c r="C11" s="19" t="s">
        <v>1102</v>
      </c>
      <c r="D11" s="4" t="s">
        <v>90</v>
      </c>
      <c r="E11" s="7" t="s">
        <v>93</v>
      </c>
      <c r="G11" s="6" t="s">
        <v>43</v>
      </c>
      <c r="H11" s="6" t="s">
        <v>43</v>
      </c>
    </row>
    <row r="12" spans="3:8" ht="31.5" x14ac:dyDescent="0.25">
      <c r="C12" s="5" t="s">
        <v>95</v>
      </c>
      <c r="D12" s="4" t="s">
        <v>94</v>
      </c>
      <c r="E12" s="7" t="s">
        <v>56</v>
      </c>
      <c r="G12" s="6" t="s">
        <v>43</v>
      </c>
      <c r="H12" s="6" t="s">
        <v>43</v>
      </c>
    </row>
    <row r="13" spans="3:8" ht="31.5" x14ac:dyDescent="0.25">
      <c r="C13" s="5" t="s">
        <v>102</v>
      </c>
      <c r="D13" s="4" t="s">
        <v>101</v>
      </c>
      <c r="E13" s="7" t="s">
        <v>56</v>
      </c>
      <c r="G13" s="6" t="s">
        <v>43</v>
      </c>
      <c r="H13" s="6" t="s">
        <v>43</v>
      </c>
    </row>
    <row r="14" spans="3:8" ht="31.5" x14ac:dyDescent="0.25">
      <c r="C14" s="5" t="s">
        <v>110</v>
      </c>
      <c r="D14" s="4" t="s">
        <v>109</v>
      </c>
      <c r="E14" s="7" t="s">
        <v>56</v>
      </c>
      <c r="G14" s="6" t="s">
        <v>43</v>
      </c>
      <c r="H14" s="6" t="s">
        <v>43</v>
      </c>
    </row>
    <row r="15" spans="3:8" ht="21" x14ac:dyDescent="0.25">
      <c r="C15" s="5" t="s">
        <v>114</v>
      </c>
      <c r="D15" s="4" t="s">
        <v>113</v>
      </c>
      <c r="E15" s="7" t="s">
        <v>93</v>
      </c>
      <c r="G15" s="6" t="s">
        <v>43</v>
      </c>
      <c r="H15" s="6" t="s">
        <v>43</v>
      </c>
    </row>
    <row r="16" spans="3:8" ht="31.5" x14ac:dyDescent="0.25">
      <c r="C16" s="5" t="s">
        <v>119</v>
      </c>
      <c r="D16" s="4" t="s">
        <v>915</v>
      </c>
      <c r="E16" s="7" t="s">
        <v>74</v>
      </c>
      <c r="G16" s="6" t="s">
        <v>41</v>
      </c>
      <c r="H16" s="6" t="s">
        <v>43</v>
      </c>
    </row>
    <row r="17" spans="3:8" ht="21" x14ac:dyDescent="0.25">
      <c r="C17" s="5" t="s">
        <v>82</v>
      </c>
      <c r="D17" s="4" t="s">
        <v>916</v>
      </c>
      <c r="E17" s="7" t="s">
        <v>93</v>
      </c>
      <c r="G17" s="6" t="s">
        <v>43</v>
      </c>
      <c r="H17" s="6" t="s">
        <v>43</v>
      </c>
    </row>
    <row r="18" spans="3:8" ht="31.5" x14ac:dyDescent="0.25">
      <c r="C18" s="5" t="s">
        <v>130</v>
      </c>
      <c r="D18" s="4" t="s">
        <v>918</v>
      </c>
      <c r="E18" s="7" t="s">
        <v>56</v>
      </c>
      <c r="G18" s="6" t="s">
        <v>43</v>
      </c>
      <c r="H18" s="6" t="s">
        <v>43</v>
      </c>
    </row>
    <row r="19" spans="3:8" ht="31.5" x14ac:dyDescent="0.25">
      <c r="C19" s="5" t="s">
        <v>137</v>
      </c>
      <c r="D19" s="4" t="s">
        <v>920</v>
      </c>
      <c r="E19" s="7" t="s">
        <v>56</v>
      </c>
      <c r="G19" s="6" t="s">
        <v>41</v>
      </c>
      <c r="H19" s="6" t="s">
        <v>43</v>
      </c>
    </row>
    <row r="20" spans="3:8" ht="31.5" x14ac:dyDescent="0.25">
      <c r="C20" s="5" t="s">
        <v>144</v>
      </c>
      <c r="D20" s="4" t="s">
        <v>143</v>
      </c>
      <c r="E20" s="7" t="s">
        <v>74</v>
      </c>
      <c r="G20" s="6" t="s">
        <v>43</v>
      </c>
      <c r="H20" s="6" t="s">
        <v>43</v>
      </c>
    </row>
    <row r="21" spans="3:8" ht="31.5" x14ac:dyDescent="0.25">
      <c r="C21" s="5" t="s">
        <v>152</v>
      </c>
      <c r="D21" s="4" t="s">
        <v>151</v>
      </c>
      <c r="E21" s="7" t="s">
        <v>74</v>
      </c>
      <c r="G21" s="6" t="s">
        <v>43</v>
      </c>
      <c r="H21" s="6" t="s">
        <v>43</v>
      </c>
    </row>
    <row r="22" spans="3:8" ht="31.5" x14ac:dyDescent="0.25">
      <c r="C22" s="5" t="s">
        <v>158</v>
      </c>
      <c r="D22" s="4" t="s">
        <v>157</v>
      </c>
      <c r="E22" s="7" t="s">
        <v>74</v>
      </c>
      <c r="G22" s="6" t="s">
        <v>43</v>
      </c>
      <c r="H22" s="6" t="s">
        <v>43</v>
      </c>
    </row>
    <row r="23" spans="3:8" ht="42" x14ac:dyDescent="0.25">
      <c r="C23" s="5" t="s">
        <v>165</v>
      </c>
      <c r="D23" s="4" t="s">
        <v>922</v>
      </c>
      <c r="E23" s="7" t="s">
        <v>56</v>
      </c>
      <c r="G23" s="6" t="s">
        <v>43</v>
      </c>
      <c r="H23" s="6" t="s">
        <v>43</v>
      </c>
    </row>
    <row r="24" spans="3:8" ht="31.5" x14ac:dyDescent="0.25">
      <c r="C24" s="5" t="s">
        <v>171</v>
      </c>
      <c r="D24" s="4" t="s">
        <v>923</v>
      </c>
      <c r="E24" s="7" t="s">
        <v>56</v>
      </c>
      <c r="G24" s="6" t="s">
        <v>43</v>
      </c>
      <c r="H24" s="6" t="s">
        <v>43</v>
      </c>
    </row>
    <row r="25" spans="3:8" ht="31.5" x14ac:dyDescent="0.25">
      <c r="C25" s="5" t="s">
        <v>178</v>
      </c>
      <c r="D25" s="4" t="s">
        <v>924</v>
      </c>
      <c r="E25" s="7" t="s">
        <v>56</v>
      </c>
      <c r="G25" s="6" t="s">
        <v>41</v>
      </c>
      <c r="H25" s="6" t="s">
        <v>43</v>
      </c>
    </row>
    <row r="26" spans="3:8" ht="31.5" x14ac:dyDescent="0.25">
      <c r="C26" s="5" t="s">
        <v>188</v>
      </c>
      <c r="D26" s="4" t="s">
        <v>925</v>
      </c>
      <c r="E26" s="7" t="s">
        <v>56</v>
      </c>
      <c r="G26" s="6" t="s">
        <v>43</v>
      </c>
      <c r="H26" s="6" t="s">
        <v>43</v>
      </c>
    </row>
    <row r="27" spans="3:8" ht="21" x14ac:dyDescent="0.25">
      <c r="C27" s="5" t="s">
        <v>195</v>
      </c>
      <c r="D27" s="4" t="s">
        <v>927</v>
      </c>
      <c r="E27" s="7" t="s">
        <v>44</v>
      </c>
      <c r="F27" s="6" t="s">
        <v>45</v>
      </c>
      <c r="G27" s="6" t="s">
        <v>41</v>
      </c>
      <c r="H27" s="6" t="s">
        <v>41</v>
      </c>
    </row>
    <row r="28" spans="3:8" ht="21" x14ac:dyDescent="0.25">
      <c r="C28" s="5" t="s">
        <v>201</v>
      </c>
      <c r="D28" s="4" t="s">
        <v>928</v>
      </c>
      <c r="E28" s="7" t="s">
        <v>44</v>
      </c>
      <c r="F28" s="6" t="s">
        <v>203</v>
      </c>
      <c r="G28" s="6" t="s">
        <v>41</v>
      </c>
      <c r="H28" s="6" t="s">
        <v>43</v>
      </c>
    </row>
    <row r="29" spans="3:8" ht="31.5" x14ac:dyDescent="0.25">
      <c r="C29" s="5" t="s">
        <v>210</v>
      </c>
      <c r="D29" s="4" t="s">
        <v>930</v>
      </c>
      <c r="E29" s="7" t="s">
        <v>74</v>
      </c>
      <c r="G29" s="6" t="s">
        <v>43</v>
      </c>
      <c r="H29" s="6" t="s">
        <v>43</v>
      </c>
    </row>
    <row r="30" spans="3:8" ht="31.5" x14ac:dyDescent="0.25">
      <c r="C30" s="5" t="s">
        <v>213</v>
      </c>
      <c r="D30" s="4" t="s">
        <v>931</v>
      </c>
      <c r="E30" s="7" t="s">
        <v>74</v>
      </c>
      <c r="G30" s="6" t="s">
        <v>43</v>
      </c>
      <c r="H30" s="6" t="s">
        <v>43</v>
      </c>
    </row>
    <row r="31" spans="3:8" ht="31.5" x14ac:dyDescent="0.25">
      <c r="C31" s="5" t="s">
        <v>222</v>
      </c>
      <c r="D31" s="4" t="s">
        <v>932</v>
      </c>
      <c r="E31" s="7" t="s">
        <v>44</v>
      </c>
      <c r="F31" s="6" t="s">
        <v>45</v>
      </c>
      <c r="G31" s="6" t="s">
        <v>41</v>
      </c>
      <c r="H31" s="6" t="s">
        <v>41</v>
      </c>
    </row>
    <row r="32" spans="3:8" ht="21" x14ac:dyDescent="0.25">
      <c r="C32" s="5" t="s">
        <v>229</v>
      </c>
      <c r="D32" s="4" t="s">
        <v>933</v>
      </c>
      <c r="E32" s="7" t="s">
        <v>44</v>
      </c>
      <c r="F32" s="6" t="s">
        <v>203</v>
      </c>
      <c r="G32" s="6" t="s">
        <v>41</v>
      </c>
      <c r="H32" s="6" t="s">
        <v>43</v>
      </c>
    </row>
    <row r="33" spans="3:8" ht="21" x14ac:dyDescent="0.25">
      <c r="C33" s="5" t="s">
        <v>236</v>
      </c>
      <c r="D33" s="4" t="s">
        <v>934</v>
      </c>
      <c r="E33" s="7" t="s">
        <v>93</v>
      </c>
      <c r="G33" s="6" t="s">
        <v>43</v>
      </c>
      <c r="H33" s="6" t="s">
        <v>43</v>
      </c>
    </row>
    <row r="34" spans="3:8" ht="31.5" x14ac:dyDescent="0.25">
      <c r="C34" s="5" t="s">
        <v>242</v>
      </c>
      <c r="D34" s="4" t="s">
        <v>241</v>
      </c>
      <c r="E34" s="7" t="s">
        <v>56</v>
      </c>
      <c r="G34" s="6" t="s">
        <v>43</v>
      </c>
      <c r="H34" s="6" t="s">
        <v>43</v>
      </c>
    </row>
    <row r="35" spans="3:8" ht="31.5" x14ac:dyDescent="0.25">
      <c r="C35" s="5" t="s">
        <v>248</v>
      </c>
      <c r="D35" s="4" t="s">
        <v>247</v>
      </c>
      <c r="E35" s="7" t="s">
        <v>56</v>
      </c>
      <c r="G35" s="6" t="s">
        <v>43</v>
      </c>
      <c r="H35" s="6" t="s">
        <v>43</v>
      </c>
    </row>
    <row r="36" spans="3:8" ht="31.5" x14ac:dyDescent="0.25">
      <c r="C36" s="5" t="s">
        <v>255</v>
      </c>
      <c r="D36" s="4" t="s">
        <v>254</v>
      </c>
      <c r="E36" s="7" t="s">
        <v>74</v>
      </c>
      <c r="F36" s="6" t="s">
        <v>203</v>
      </c>
      <c r="G36" s="6" t="s">
        <v>43</v>
      </c>
      <c r="H36" s="6" t="s">
        <v>43</v>
      </c>
    </row>
    <row r="37" spans="3:8" ht="31.5" x14ac:dyDescent="0.25">
      <c r="C37" s="5" t="s">
        <v>260</v>
      </c>
      <c r="D37" s="4" t="s">
        <v>937</v>
      </c>
      <c r="E37" s="17" t="s">
        <v>74</v>
      </c>
      <c r="F37" s="7" t="s">
        <v>203</v>
      </c>
      <c r="G37" s="6" t="s">
        <v>41</v>
      </c>
      <c r="H37" s="6" t="s">
        <v>43</v>
      </c>
    </row>
    <row r="38" spans="3:8" ht="21" x14ac:dyDescent="0.25">
      <c r="C38" s="5" t="s">
        <v>266</v>
      </c>
      <c r="D38" s="4" t="s">
        <v>265</v>
      </c>
      <c r="E38" s="7"/>
      <c r="G38" s="6" t="s">
        <v>43</v>
      </c>
      <c r="H38" s="6" t="s">
        <v>43</v>
      </c>
    </row>
    <row r="39" spans="3:8" ht="31.5" x14ac:dyDescent="0.25">
      <c r="C39" s="5" t="s">
        <v>273</v>
      </c>
      <c r="D39" s="4" t="s">
        <v>939</v>
      </c>
      <c r="E39" s="7" t="s">
        <v>56</v>
      </c>
      <c r="G39" s="6" t="s">
        <v>43</v>
      </c>
      <c r="H39" s="6" t="s">
        <v>43</v>
      </c>
    </row>
    <row r="40" spans="3:8" ht="21" x14ac:dyDescent="0.25">
      <c r="C40" s="5" t="s">
        <v>277</v>
      </c>
      <c r="D40" s="4" t="s">
        <v>941</v>
      </c>
      <c r="E40" s="17" t="s">
        <v>74</v>
      </c>
      <c r="G40" s="6" t="s">
        <v>43</v>
      </c>
      <c r="H40" s="6" t="s">
        <v>43</v>
      </c>
    </row>
    <row r="41" spans="3:8" ht="21" x14ac:dyDescent="0.25">
      <c r="C41" s="5" t="s">
        <v>283</v>
      </c>
      <c r="D41" s="4" t="s">
        <v>943</v>
      </c>
      <c r="E41" s="7" t="s">
        <v>93</v>
      </c>
      <c r="G41" s="6" t="s">
        <v>43</v>
      </c>
      <c r="H41" s="6" t="s">
        <v>43</v>
      </c>
    </row>
    <row r="42" spans="3:8" ht="31.5" x14ac:dyDescent="0.25">
      <c r="C42" s="5" t="s">
        <v>287</v>
      </c>
      <c r="D42" s="4" t="s">
        <v>945</v>
      </c>
      <c r="E42" s="7" t="s">
        <v>56</v>
      </c>
      <c r="G42" s="6" t="s">
        <v>43</v>
      </c>
      <c r="H42" s="6" t="s">
        <v>43</v>
      </c>
    </row>
    <row r="43" spans="3:8" ht="42" x14ac:dyDescent="0.25">
      <c r="C43" s="5" t="s">
        <v>293</v>
      </c>
      <c r="D43" s="4" t="s">
        <v>946</v>
      </c>
      <c r="E43" s="17" t="s">
        <v>44</v>
      </c>
      <c r="F43" s="7" t="s">
        <v>45</v>
      </c>
      <c r="G43" s="6" t="s">
        <v>41</v>
      </c>
      <c r="H43" s="6" t="s">
        <v>41</v>
      </c>
    </row>
    <row r="44" spans="3:8" ht="31.5" x14ac:dyDescent="0.25">
      <c r="C44" s="5" t="s">
        <v>300</v>
      </c>
      <c r="D44" s="4" t="s">
        <v>948</v>
      </c>
      <c r="E44" s="7" t="s">
        <v>74</v>
      </c>
      <c r="G44" s="6" t="s">
        <v>41</v>
      </c>
      <c r="H44" s="6" t="s">
        <v>43</v>
      </c>
    </row>
    <row r="45" spans="3:8" ht="31.5" x14ac:dyDescent="0.25">
      <c r="C45" s="5" t="s">
        <v>306</v>
      </c>
      <c r="D45" s="4" t="s">
        <v>305</v>
      </c>
      <c r="E45" s="7" t="s">
        <v>56</v>
      </c>
      <c r="G45" s="6" t="s">
        <v>43</v>
      </c>
      <c r="H45" s="6" t="s">
        <v>43</v>
      </c>
    </row>
    <row r="46" spans="3:8" ht="31.5" x14ac:dyDescent="0.25">
      <c r="C46" s="5" t="s">
        <v>309</v>
      </c>
      <c r="D46" s="4" t="s">
        <v>950</v>
      </c>
      <c r="E46" s="7" t="s">
        <v>56</v>
      </c>
      <c r="G46" s="6" t="s">
        <v>43</v>
      </c>
      <c r="H46" s="6" t="s">
        <v>43</v>
      </c>
    </row>
    <row r="47" spans="3:8" ht="31.5" x14ac:dyDescent="0.25">
      <c r="C47" s="5" t="s">
        <v>315</v>
      </c>
      <c r="D47" s="4" t="s">
        <v>952</v>
      </c>
      <c r="E47" s="17" t="s">
        <v>44</v>
      </c>
      <c r="G47" s="6" t="s">
        <v>43</v>
      </c>
      <c r="H47" s="6" t="s">
        <v>43</v>
      </c>
    </row>
    <row r="48" spans="3:8" ht="31.5" x14ac:dyDescent="0.25">
      <c r="C48" s="5" t="s">
        <v>321</v>
      </c>
      <c r="D48" s="4" t="s">
        <v>320</v>
      </c>
      <c r="E48" s="7" t="s">
        <v>56</v>
      </c>
      <c r="G48" s="6" t="s">
        <v>43</v>
      </c>
      <c r="H48" s="6" t="s">
        <v>43</v>
      </c>
    </row>
    <row r="49" spans="3:8" x14ac:dyDescent="0.25">
      <c r="C49" s="5" t="s">
        <v>327</v>
      </c>
      <c r="D49" s="4" t="s">
        <v>326</v>
      </c>
      <c r="E49" s="17" t="s">
        <v>74</v>
      </c>
      <c r="G49" s="6" t="s">
        <v>43</v>
      </c>
      <c r="H49" s="6" t="s">
        <v>43</v>
      </c>
    </row>
    <row r="50" spans="3:8" ht="31.5" x14ac:dyDescent="0.25">
      <c r="C50" s="5" t="s">
        <v>333</v>
      </c>
      <c r="D50" s="4" t="s">
        <v>956</v>
      </c>
      <c r="E50" s="7" t="s">
        <v>74</v>
      </c>
      <c r="G50" s="6" t="s">
        <v>43</v>
      </c>
      <c r="H50" s="6" t="s">
        <v>43</v>
      </c>
    </row>
    <row r="51" spans="3:8" ht="31.5" x14ac:dyDescent="0.25">
      <c r="C51" s="5" t="s">
        <v>339</v>
      </c>
      <c r="D51" s="4" t="s">
        <v>958</v>
      </c>
      <c r="E51" s="7" t="s">
        <v>56</v>
      </c>
      <c r="G51" s="6" t="s">
        <v>43</v>
      </c>
      <c r="H51" s="6" t="s">
        <v>43</v>
      </c>
    </row>
    <row r="52" spans="3:8" ht="21" x14ac:dyDescent="0.25">
      <c r="C52" s="5" t="s">
        <v>344</v>
      </c>
      <c r="D52" s="4" t="s">
        <v>960</v>
      </c>
      <c r="E52" s="7" t="s">
        <v>44</v>
      </c>
      <c r="F52" s="6" t="s">
        <v>203</v>
      </c>
      <c r="G52" s="6" t="s">
        <v>41</v>
      </c>
      <c r="H52" s="6" t="s">
        <v>41</v>
      </c>
    </row>
    <row r="53" spans="3:8" ht="31.5" x14ac:dyDescent="0.25">
      <c r="C53" s="5" t="s">
        <v>350</v>
      </c>
      <c r="D53" s="4" t="s">
        <v>962</v>
      </c>
      <c r="E53" s="7" t="s">
        <v>74</v>
      </c>
      <c r="G53" s="6" t="s">
        <v>43</v>
      </c>
      <c r="H53" s="6" t="s">
        <v>43</v>
      </c>
    </row>
    <row r="54" spans="3:8" ht="21" x14ac:dyDescent="0.25">
      <c r="C54" s="5" t="s">
        <v>355</v>
      </c>
      <c r="D54" s="4" t="s">
        <v>354</v>
      </c>
      <c r="E54" s="7" t="s">
        <v>44</v>
      </c>
      <c r="F54" s="6" t="s">
        <v>45</v>
      </c>
      <c r="G54" s="6" t="s">
        <v>41</v>
      </c>
      <c r="H54" s="6" t="s">
        <v>41</v>
      </c>
    </row>
    <row r="55" spans="3:8" ht="31.5" x14ac:dyDescent="0.25">
      <c r="C55" s="19" t="s">
        <v>1103</v>
      </c>
      <c r="D55" s="4" t="s">
        <v>360</v>
      </c>
      <c r="E55" s="7" t="s">
        <v>56</v>
      </c>
      <c r="G55" s="6" t="s">
        <v>43</v>
      </c>
      <c r="H55" s="6" t="s">
        <v>43</v>
      </c>
    </row>
    <row r="56" spans="3:8" ht="31.5" x14ac:dyDescent="0.25">
      <c r="C56" s="5" t="s">
        <v>368</v>
      </c>
      <c r="D56" s="4" t="s">
        <v>367</v>
      </c>
      <c r="E56" s="7" t="s">
        <v>56</v>
      </c>
      <c r="G56" s="6" t="s">
        <v>43</v>
      </c>
      <c r="H56" s="6" t="s">
        <v>43</v>
      </c>
    </row>
    <row r="57" spans="3:8" x14ac:dyDescent="0.25">
      <c r="C57" s="5" t="s">
        <v>372</v>
      </c>
      <c r="D57" s="4" t="s">
        <v>967</v>
      </c>
      <c r="E57" s="17" t="s">
        <v>44</v>
      </c>
      <c r="G57" s="6" t="s">
        <v>43</v>
      </c>
      <c r="H57" s="6" t="s">
        <v>43</v>
      </c>
    </row>
    <row r="58" spans="3:8" ht="31.5" x14ac:dyDescent="0.25">
      <c r="C58" s="5" t="s">
        <v>378</v>
      </c>
      <c r="D58" s="4" t="s">
        <v>377</v>
      </c>
      <c r="E58" s="7" t="s">
        <v>56</v>
      </c>
      <c r="G58" s="6" t="s">
        <v>43</v>
      </c>
      <c r="H58" s="6" t="s">
        <v>43</v>
      </c>
    </row>
    <row r="59" spans="3:8" ht="31.5" x14ac:dyDescent="0.25">
      <c r="C59" s="5" t="s">
        <v>383</v>
      </c>
      <c r="D59" s="4" t="s">
        <v>382</v>
      </c>
      <c r="E59" s="7" t="s">
        <v>74</v>
      </c>
      <c r="G59" s="6" t="s">
        <v>43</v>
      </c>
      <c r="H59" s="6" t="s">
        <v>43</v>
      </c>
    </row>
    <row r="60" spans="3:8" ht="31.5" x14ac:dyDescent="0.25">
      <c r="C60" s="5" t="s">
        <v>393</v>
      </c>
      <c r="D60" s="4" t="s">
        <v>392</v>
      </c>
      <c r="E60" s="7" t="s">
        <v>56</v>
      </c>
      <c r="G60" s="6" t="s">
        <v>43</v>
      </c>
      <c r="H60" s="6" t="s">
        <v>43</v>
      </c>
    </row>
    <row r="61" spans="3:8" ht="31.5" x14ac:dyDescent="0.25">
      <c r="C61" s="5" t="s">
        <v>396</v>
      </c>
      <c r="D61" s="4" t="s">
        <v>972</v>
      </c>
      <c r="E61" s="7" t="s">
        <v>56</v>
      </c>
      <c r="G61" s="6" t="s">
        <v>43</v>
      </c>
      <c r="H61" s="6" t="s">
        <v>43</v>
      </c>
    </row>
    <row r="62" spans="3:8" ht="21" x14ac:dyDescent="0.25">
      <c r="C62" s="5" t="s">
        <v>402</v>
      </c>
      <c r="D62" s="4" t="s">
        <v>974</v>
      </c>
      <c r="E62" s="7" t="s">
        <v>44</v>
      </c>
      <c r="G62" s="6" t="s">
        <v>41</v>
      </c>
      <c r="H62" s="6" t="s">
        <v>43</v>
      </c>
    </row>
    <row r="63" spans="3:8" ht="31.5" x14ac:dyDescent="0.25">
      <c r="C63" s="5" t="s">
        <v>408</v>
      </c>
      <c r="D63" s="4" t="s">
        <v>976</v>
      </c>
      <c r="E63" s="17" t="s">
        <v>44</v>
      </c>
      <c r="F63" s="7" t="s">
        <v>203</v>
      </c>
      <c r="G63" s="6" t="s">
        <v>43</v>
      </c>
      <c r="H63" s="6" t="s">
        <v>43</v>
      </c>
    </row>
    <row r="64" spans="3:8" ht="31.5" x14ac:dyDescent="0.25">
      <c r="C64" s="5" t="s">
        <v>413</v>
      </c>
      <c r="D64" s="4" t="s">
        <v>412</v>
      </c>
      <c r="E64" s="7" t="s">
        <v>56</v>
      </c>
      <c r="G64" s="6" t="s">
        <v>43</v>
      </c>
      <c r="H64" s="6" t="s">
        <v>43</v>
      </c>
    </row>
    <row r="65" spans="3:8" ht="31.5" x14ac:dyDescent="0.25">
      <c r="C65" s="5" t="s">
        <v>419</v>
      </c>
      <c r="D65" s="4" t="s">
        <v>418</v>
      </c>
      <c r="E65" s="7" t="s">
        <v>74</v>
      </c>
      <c r="F65" s="6" t="s">
        <v>203</v>
      </c>
      <c r="G65" s="6" t="s">
        <v>41</v>
      </c>
      <c r="H65" s="6" t="s">
        <v>41</v>
      </c>
    </row>
    <row r="66" spans="3:8" ht="31.5" x14ac:dyDescent="0.25">
      <c r="C66" s="5" t="s">
        <v>425</v>
      </c>
      <c r="D66" s="4" t="s">
        <v>980</v>
      </c>
      <c r="E66" s="7" t="s">
        <v>74</v>
      </c>
      <c r="G66" s="6" t="s">
        <v>43</v>
      </c>
      <c r="H66" s="6" t="s">
        <v>43</v>
      </c>
    </row>
    <row r="67" spans="3:8" ht="31.5" x14ac:dyDescent="0.25">
      <c r="C67" s="5" t="s">
        <v>431</v>
      </c>
      <c r="D67" s="4" t="s">
        <v>430</v>
      </c>
      <c r="E67" s="7" t="s">
        <v>74</v>
      </c>
      <c r="G67" s="6" t="s">
        <v>41</v>
      </c>
      <c r="H67" s="6" t="s">
        <v>43</v>
      </c>
    </row>
    <row r="68" spans="3:8" ht="31.5" x14ac:dyDescent="0.25">
      <c r="C68" s="5" t="s">
        <v>437</v>
      </c>
      <c r="D68" s="4" t="s">
        <v>983</v>
      </c>
      <c r="E68" s="7" t="s">
        <v>74</v>
      </c>
      <c r="G68" s="6" t="s">
        <v>43</v>
      </c>
      <c r="H68" s="6" t="s">
        <v>43</v>
      </c>
    </row>
    <row r="69" spans="3:8" x14ac:dyDescent="0.25">
      <c r="C69" s="5" t="s">
        <v>443</v>
      </c>
      <c r="D69" s="4" t="s">
        <v>442</v>
      </c>
      <c r="E69" s="17" t="s">
        <v>74</v>
      </c>
      <c r="G69" s="6" t="s">
        <v>41</v>
      </c>
      <c r="H69" s="6" t="s">
        <v>43</v>
      </c>
    </row>
    <row r="70" spans="3:8" ht="31.5" x14ac:dyDescent="0.25">
      <c r="C70" s="5" t="s">
        <v>449</v>
      </c>
      <c r="D70" s="4" t="s">
        <v>448</v>
      </c>
      <c r="E70" s="7" t="s">
        <v>56</v>
      </c>
      <c r="F70" s="6" t="s">
        <v>45</v>
      </c>
      <c r="G70" s="6" t="s">
        <v>41</v>
      </c>
      <c r="H70" s="6" t="s">
        <v>41</v>
      </c>
    </row>
    <row r="71" spans="3:8" ht="31.5" x14ac:dyDescent="0.25">
      <c r="C71" s="5" t="s">
        <v>455</v>
      </c>
      <c r="D71" s="4" t="s">
        <v>454</v>
      </c>
      <c r="E71" s="7" t="s">
        <v>56</v>
      </c>
      <c r="G71" s="6" t="s">
        <v>43</v>
      </c>
      <c r="H71" s="6" t="s">
        <v>43</v>
      </c>
    </row>
    <row r="72" spans="3:8" ht="31.5" x14ac:dyDescent="0.25">
      <c r="C72" s="5" t="s">
        <v>460</v>
      </c>
      <c r="D72" s="4" t="s">
        <v>988</v>
      </c>
      <c r="E72" s="7" t="s">
        <v>56</v>
      </c>
      <c r="G72" s="6" t="s">
        <v>43</v>
      </c>
      <c r="H72" s="6" t="s">
        <v>43</v>
      </c>
    </row>
    <row r="73" spans="3:8" ht="31.5" x14ac:dyDescent="0.25">
      <c r="C73" s="5" t="s">
        <v>466</v>
      </c>
      <c r="D73" s="4" t="s">
        <v>465</v>
      </c>
      <c r="E73" s="7" t="s">
        <v>56</v>
      </c>
      <c r="G73" s="6" t="s">
        <v>43</v>
      </c>
      <c r="H73" s="6" t="s">
        <v>43</v>
      </c>
    </row>
    <row r="74" spans="3:8" ht="31.5" x14ac:dyDescent="0.25">
      <c r="C74" s="5" t="s">
        <v>472</v>
      </c>
      <c r="D74" s="4" t="s">
        <v>471</v>
      </c>
      <c r="E74" s="7" t="s">
        <v>74</v>
      </c>
      <c r="G74" s="6" t="s">
        <v>41</v>
      </c>
      <c r="H74" s="6" t="s">
        <v>43</v>
      </c>
    </row>
    <row r="75" spans="3:8" ht="31.5" x14ac:dyDescent="0.25">
      <c r="C75" s="5" t="s">
        <v>478</v>
      </c>
      <c r="D75" s="4" t="s">
        <v>477</v>
      </c>
      <c r="E75" s="7" t="s">
        <v>74</v>
      </c>
      <c r="G75" s="6" t="s">
        <v>43</v>
      </c>
      <c r="H75" s="6" t="s">
        <v>43</v>
      </c>
    </row>
    <row r="76" spans="3:8" ht="42" x14ac:dyDescent="0.25">
      <c r="C76" s="5" t="s">
        <v>482</v>
      </c>
      <c r="D76" s="4" t="s">
        <v>992</v>
      </c>
      <c r="E76" s="17" t="s">
        <v>56</v>
      </c>
      <c r="F76" s="7" t="s">
        <v>203</v>
      </c>
      <c r="G76" s="6" t="s">
        <v>43</v>
      </c>
      <c r="H76" s="6" t="s">
        <v>43</v>
      </c>
    </row>
    <row r="77" spans="3:8" ht="21" x14ac:dyDescent="0.25">
      <c r="C77" s="5" t="s">
        <v>487</v>
      </c>
      <c r="D77" s="4" t="s">
        <v>486</v>
      </c>
      <c r="E77" s="7" t="s">
        <v>93</v>
      </c>
      <c r="G77" s="6" t="s">
        <v>43</v>
      </c>
      <c r="H77" s="6" t="s">
        <v>43</v>
      </c>
    </row>
    <row r="78" spans="3:8" ht="42" x14ac:dyDescent="0.25">
      <c r="C78" s="5" t="s">
        <v>490</v>
      </c>
      <c r="D78" s="4" t="s">
        <v>489</v>
      </c>
      <c r="E78" s="17" t="s">
        <v>74</v>
      </c>
      <c r="G78" s="6" t="s">
        <v>43</v>
      </c>
      <c r="H78" s="6" t="s">
        <v>43</v>
      </c>
    </row>
    <row r="79" spans="3:8" ht="31.5" x14ac:dyDescent="0.25">
      <c r="C79" s="5" t="s">
        <v>496</v>
      </c>
      <c r="D79" s="4" t="s">
        <v>995</v>
      </c>
      <c r="E79" s="7" t="s">
        <v>74</v>
      </c>
      <c r="F79" s="6" t="s">
        <v>203</v>
      </c>
      <c r="G79" s="6" t="s">
        <v>41</v>
      </c>
      <c r="H79" s="6" t="s">
        <v>41</v>
      </c>
    </row>
    <row r="80" spans="3:8" ht="31.5" x14ac:dyDescent="0.25">
      <c r="C80" s="5" t="s">
        <v>502</v>
      </c>
      <c r="D80" s="4" t="s">
        <v>997</v>
      </c>
      <c r="E80" s="7" t="s">
        <v>74</v>
      </c>
      <c r="G80" s="6" t="s">
        <v>43</v>
      </c>
      <c r="H80" s="6" t="s">
        <v>43</v>
      </c>
    </row>
    <row r="81" spans="3:8" ht="21" x14ac:dyDescent="0.25">
      <c r="C81" s="5" t="s">
        <v>508</v>
      </c>
      <c r="D81" s="4" t="s">
        <v>507</v>
      </c>
      <c r="E81" s="7" t="s">
        <v>44</v>
      </c>
      <c r="G81" s="6" t="s">
        <v>43</v>
      </c>
      <c r="H81" s="6" t="s">
        <v>43</v>
      </c>
    </row>
    <row r="82" spans="3:8" ht="31.5" x14ac:dyDescent="0.25">
      <c r="C82" s="5" t="s">
        <v>513</v>
      </c>
      <c r="D82" s="4" t="s">
        <v>512</v>
      </c>
      <c r="E82" s="7" t="s">
        <v>56</v>
      </c>
      <c r="F82" s="6" t="s">
        <v>203</v>
      </c>
      <c r="G82" s="6" t="s">
        <v>41</v>
      </c>
      <c r="H82" s="6" t="s">
        <v>41</v>
      </c>
    </row>
    <row r="83" spans="3:8" ht="21" x14ac:dyDescent="0.25">
      <c r="C83" s="5" t="s">
        <v>519</v>
      </c>
      <c r="D83" s="4" t="s">
        <v>518</v>
      </c>
      <c r="E83" s="7" t="s">
        <v>44</v>
      </c>
      <c r="G83" s="6" t="s">
        <v>41</v>
      </c>
      <c r="H83" s="6" t="s">
        <v>41</v>
      </c>
    </row>
    <row r="84" spans="3:8" ht="21" x14ac:dyDescent="0.25">
      <c r="C84" s="5" t="s">
        <v>525</v>
      </c>
      <c r="D84" s="4" t="s">
        <v>1002</v>
      </c>
      <c r="E84" s="7" t="s">
        <v>44</v>
      </c>
      <c r="G84" s="6" t="s">
        <v>43</v>
      </c>
      <c r="H84" s="6" t="s">
        <v>43</v>
      </c>
    </row>
    <row r="85" spans="3:8" ht="31.5" x14ac:dyDescent="0.25">
      <c r="C85" s="5" t="s">
        <v>531</v>
      </c>
      <c r="D85" s="4" t="s">
        <v>1004</v>
      </c>
      <c r="E85" s="7" t="s">
        <v>56</v>
      </c>
      <c r="G85" s="6" t="s">
        <v>43</v>
      </c>
      <c r="H85" s="6" t="s">
        <v>43</v>
      </c>
    </row>
    <row r="86" spans="3:8" ht="31.5" x14ac:dyDescent="0.25">
      <c r="C86" s="5" t="s">
        <v>535</v>
      </c>
      <c r="D86" s="4" t="s">
        <v>1006</v>
      </c>
      <c r="E86" s="7" t="s">
        <v>56</v>
      </c>
      <c r="G86" s="6" t="s">
        <v>43</v>
      </c>
      <c r="H86" s="6" t="s">
        <v>43</v>
      </c>
    </row>
    <row r="87" spans="3:8" ht="21" x14ac:dyDescent="0.25">
      <c r="C87" s="5" t="s">
        <v>540</v>
      </c>
      <c r="D87" s="4" t="s">
        <v>539</v>
      </c>
      <c r="E87" s="7" t="s">
        <v>44</v>
      </c>
      <c r="F87" s="6" t="s">
        <v>45</v>
      </c>
      <c r="G87" s="6" t="s">
        <v>41</v>
      </c>
      <c r="H87" s="6" t="s">
        <v>41</v>
      </c>
    </row>
    <row r="88" spans="3:8" ht="31.5" x14ac:dyDescent="0.25">
      <c r="C88" s="19" t="s">
        <v>1104</v>
      </c>
      <c r="D88" s="4" t="s">
        <v>545</v>
      </c>
      <c r="E88" s="7" t="s">
        <v>56</v>
      </c>
      <c r="F88" s="6" t="s">
        <v>203</v>
      </c>
      <c r="G88" s="6" t="s">
        <v>43</v>
      </c>
      <c r="H88" s="6" t="s">
        <v>43</v>
      </c>
    </row>
    <row r="89" spans="3:8" ht="31.5" x14ac:dyDescent="0.25">
      <c r="C89" s="5" t="s">
        <v>549</v>
      </c>
      <c r="D89" s="4" t="s">
        <v>1009</v>
      </c>
      <c r="E89" s="7" t="s">
        <v>74</v>
      </c>
      <c r="G89" s="6" t="s">
        <v>41</v>
      </c>
      <c r="H89" s="6" t="s">
        <v>43</v>
      </c>
    </row>
    <row r="90" spans="3:8" ht="31.5" x14ac:dyDescent="0.25">
      <c r="C90" s="5" t="s">
        <v>555</v>
      </c>
      <c r="D90" s="4" t="s">
        <v>554</v>
      </c>
      <c r="E90" s="7" t="s">
        <v>56</v>
      </c>
      <c r="G90" s="6" t="s">
        <v>41</v>
      </c>
      <c r="H90" s="6" t="s">
        <v>43</v>
      </c>
    </row>
    <row r="91" spans="3:8" ht="31.5" x14ac:dyDescent="0.25">
      <c r="C91" s="5" t="s">
        <v>480</v>
      </c>
      <c r="D91" s="4" t="s">
        <v>560</v>
      </c>
      <c r="E91" s="17" t="s">
        <v>74</v>
      </c>
      <c r="F91" s="7" t="s">
        <v>203</v>
      </c>
      <c r="G91" s="6" t="s">
        <v>43</v>
      </c>
      <c r="H91" s="6" t="s">
        <v>43</v>
      </c>
    </row>
    <row r="92" spans="3:8" ht="31.5" x14ac:dyDescent="0.25">
      <c r="C92" s="5" t="s">
        <v>563</v>
      </c>
      <c r="D92" s="4" t="s">
        <v>1012</v>
      </c>
      <c r="E92" s="7" t="s">
        <v>56</v>
      </c>
      <c r="G92" s="6" t="s">
        <v>41</v>
      </c>
      <c r="H92" s="6" t="s">
        <v>43</v>
      </c>
    </row>
    <row r="93" spans="3:8" ht="31.5" x14ac:dyDescent="0.25">
      <c r="C93" s="5" t="s">
        <v>569</v>
      </c>
      <c r="D93" s="4" t="s">
        <v>1014</v>
      </c>
      <c r="E93" s="7" t="s">
        <v>74</v>
      </c>
      <c r="G93" s="6" t="s">
        <v>43</v>
      </c>
      <c r="H93" s="6" t="s">
        <v>43</v>
      </c>
    </row>
    <row r="94" spans="3:8" ht="21" x14ac:dyDescent="0.25">
      <c r="C94" s="5" t="s">
        <v>574</v>
      </c>
      <c r="D94" s="4" t="s">
        <v>573</v>
      </c>
      <c r="E94" s="7"/>
      <c r="G94" s="6" t="s">
        <v>43</v>
      </c>
      <c r="H94" s="6" t="s">
        <v>43</v>
      </c>
    </row>
    <row r="95" spans="3:8" ht="31.5" x14ac:dyDescent="0.25">
      <c r="C95" s="5" t="s">
        <v>577</v>
      </c>
      <c r="D95" s="4" t="s">
        <v>1016</v>
      </c>
      <c r="E95" s="7" t="s">
        <v>74</v>
      </c>
      <c r="G95" s="6" t="s">
        <v>43</v>
      </c>
      <c r="H95" s="6" t="s">
        <v>43</v>
      </c>
    </row>
    <row r="96" spans="3:8" ht="31.5" x14ac:dyDescent="0.25">
      <c r="C96" s="5" t="s">
        <v>583</v>
      </c>
      <c r="D96" s="4" t="s">
        <v>1017</v>
      </c>
      <c r="E96" s="7" t="s">
        <v>74</v>
      </c>
      <c r="F96" s="6" t="s">
        <v>45</v>
      </c>
      <c r="G96" s="6" t="s">
        <v>41</v>
      </c>
      <c r="H96" s="6" t="s">
        <v>43</v>
      </c>
    </row>
    <row r="97" spans="3:8" ht="31.5" x14ac:dyDescent="0.25">
      <c r="C97" s="5" t="s">
        <v>590</v>
      </c>
      <c r="D97" s="4" t="s">
        <v>1019</v>
      </c>
      <c r="E97" s="7" t="s">
        <v>56</v>
      </c>
      <c r="G97" s="6" t="s">
        <v>43</v>
      </c>
      <c r="H97" s="6" t="s">
        <v>43</v>
      </c>
    </row>
    <row r="98" spans="3:8" ht="21" x14ac:dyDescent="0.25">
      <c r="C98" s="5" t="s">
        <v>596</v>
      </c>
      <c r="D98" s="4" t="s">
        <v>595</v>
      </c>
      <c r="E98" s="7" t="s">
        <v>93</v>
      </c>
      <c r="G98" s="6" t="s">
        <v>43</v>
      </c>
      <c r="H98" s="6" t="s">
        <v>43</v>
      </c>
    </row>
    <row r="99" spans="3:8" ht="31.5" x14ac:dyDescent="0.25">
      <c r="C99" s="5" t="s">
        <v>599</v>
      </c>
      <c r="D99" s="4" t="s">
        <v>1021</v>
      </c>
      <c r="E99" s="7" t="s">
        <v>74</v>
      </c>
      <c r="G99" s="6" t="s">
        <v>41</v>
      </c>
      <c r="H99" s="6" t="s">
        <v>43</v>
      </c>
    </row>
    <row r="100" spans="3:8" ht="31.5" x14ac:dyDescent="0.25">
      <c r="C100" s="5" t="s">
        <v>605</v>
      </c>
      <c r="D100" s="4" t="s">
        <v>604</v>
      </c>
      <c r="E100" s="7" t="s">
        <v>74</v>
      </c>
      <c r="G100" s="6" t="s">
        <v>43</v>
      </c>
      <c r="H100" s="6" t="s">
        <v>43</v>
      </c>
    </row>
    <row r="101" spans="3:8" ht="21" x14ac:dyDescent="0.25">
      <c r="C101" s="5" t="s">
        <v>610</v>
      </c>
      <c r="D101" s="4" t="s">
        <v>1024</v>
      </c>
      <c r="E101" s="7" t="s">
        <v>44</v>
      </c>
      <c r="F101" s="6" t="s">
        <v>45</v>
      </c>
      <c r="G101" s="6" t="s">
        <v>41</v>
      </c>
      <c r="H101" s="6" t="s">
        <v>43</v>
      </c>
    </row>
    <row r="102" spans="3:8" ht="31.5" x14ac:dyDescent="0.25">
      <c r="C102" s="5" t="s">
        <v>616</v>
      </c>
      <c r="D102" s="4" t="s">
        <v>1026</v>
      </c>
      <c r="E102" s="7" t="s">
        <v>74</v>
      </c>
      <c r="F102" s="6" t="s">
        <v>45</v>
      </c>
      <c r="G102" s="6" t="s">
        <v>41</v>
      </c>
      <c r="H102" s="6" t="s">
        <v>41</v>
      </c>
    </row>
    <row r="103" spans="3:8" x14ac:dyDescent="0.25">
      <c r="C103" s="5" t="s">
        <v>622</v>
      </c>
      <c r="D103" s="4" t="s">
        <v>621</v>
      </c>
      <c r="E103" s="7"/>
      <c r="G103" s="6" t="s">
        <v>43</v>
      </c>
      <c r="H103" s="6" t="s">
        <v>43</v>
      </c>
    </row>
    <row r="104" spans="3:8" ht="31.5" x14ac:dyDescent="0.25">
      <c r="C104" s="5" t="s">
        <v>625</v>
      </c>
      <c r="D104" s="4" t="s">
        <v>1028</v>
      </c>
      <c r="E104" s="7" t="s">
        <v>56</v>
      </c>
      <c r="G104" s="6" t="s">
        <v>43</v>
      </c>
      <c r="H104" s="6" t="s">
        <v>43</v>
      </c>
    </row>
    <row r="105" spans="3:8" ht="21" x14ac:dyDescent="0.25">
      <c r="C105" s="5" t="s">
        <v>629</v>
      </c>
      <c r="D105" s="4" t="s">
        <v>628</v>
      </c>
      <c r="E105" s="7" t="s">
        <v>93</v>
      </c>
      <c r="G105" s="6" t="s">
        <v>43</v>
      </c>
      <c r="H105" s="6" t="s">
        <v>43</v>
      </c>
    </row>
    <row r="106" spans="3:8" ht="31.5" x14ac:dyDescent="0.25">
      <c r="C106" s="5" t="s">
        <v>633</v>
      </c>
      <c r="D106" s="4" t="s">
        <v>632</v>
      </c>
      <c r="E106" s="7" t="s">
        <v>74</v>
      </c>
      <c r="G106" s="6" t="s">
        <v>41</v>
      </c>
      <c r="H106" s="6" t="s">
        <v>43</v>
      </c>
    </row>
    <row r="107" spans="3:8" ht="31.5" x14ac:dyDescent="0.25">
      <c r="C107" s="5" t="s">
        <v>639</v>
      </c>
      <c r="D107" s="4" t="s">
        <v>638</v>
      </c>
      <c r="E107" s="7" t="s">
        <v>56</v>
      </c>
      <c r="G107" s="6" t="s">
        <v>43</v>
      </c>
      <c r="H107" s="6" t="s">
        <v>43</v>
      </c>
    </row>
    <row r="108" spans="3:8" ht="31.5" x14ac:dyDescent="0.25">
      <c r="C108" s="5" t="s">
        <v>642</v>
      </c>
      <c r="D108" s="4" t="s">
        <v>1032</v>
      </c>
      <c r="E108" s="17" t="s">
        <v>74</v>
      </c>
      <c r="F108" s="7" t="s">
        <v>203</v>
      </c>
      <c r="G108" s="6" t="s">
        <v>41</v>
      </c>
      <c r="H108" s="6" t="s">
        <v>41</v>
      </c>
    </row>
    <row r="109" spans="3:8" ht="21" x14ac:dyDescent="0.25">
      <c r="C109" s="5" t="s">
        <v>648</v>
      </c>
      <c r="D109" s="4" t="s">
        <v>647</v>
      </c>
      <c r="E109" s="7" t="s">
        <v>93</v>
      </c>
      <c r="G109" s="6" t="s">
        <v>41</v>
      </c>
      <c r="H109" s="6" t="s">
        <v>43</v>
      </c>
    </row>
    <row r="110" spans="3:8" ht="31.5" x14ac:dyDescent="0.25">
      <c r="C110" s="5" t="s">
        <v>654</v>
      </c>
      <c r="D110" s="4" t="s">
        <v>653</v>
      </c>
      <c r="E110" s="7" t="s">
        <v>74</v>
      </c>
      <c r="F110" s="6" t="s">
        <v>203</v>
      </c>
      <c r="G110" s="6" t="s">
        <v>43</v>
      </c>
      <c r="H110" s="6" t="s">
        <v>43</v>
      </c>
    </row>
    <row r="111" spans="3:8" ht="31.5" x14ac:dyDescent="0.25">
      <c r="C111" s="5" t="s">
        <v>660</v>
      </c>
      <c r="D111" s="4" t="s">
        <v>1036</v>
      </c>
      <c r="E111" s="7" t="s">
        <v>56</v>
      </c>
      <c r="G111" s="6" t="s">
        <v>43</v>
      </c>
      <c r="H111" s="6" t="s">
        <v>43</v>
      </c>
    </row>
    <row r="112" spans="3:8" ht="31.5" x14ac:dyDescent="0.25">
      <c r="C112" s="5" t="s">
        <v>665</v>
      </c>
      <c r="D112" s="4" t="s">
        <v>664</v>
      </c>
      <c r="E112" s="7" t="s">
        <v>56</v>
      </c>
      <c r="G112" s="6" t="s">
        <v>43</v>
      </c>
      <c r="H112" s="6" t="s">
        <v>43</v>
      </c>
    </row>
    <row r="113" spans="3:8" ht="31.5" x14ac:dyDescent="0.25">
      <c r="C113" s="5" t="s">
        <v>671</v>
      </c>
      <c r="D113" s="4" t="s">
        <v>1039</v>
      </c>
      <c r="E113" s="7" t="s">
        <v>74</v>
      </c>
      <c r="G113" s="6" t="s">
        <v>41</v>
      </c>
      <c r="H113" s="6" t="s">
        <v>43</v>
      </c>
    </row>
    <row r="114" spans="3:8" ht="21" x14ac:dyDescent="0.25">
      <c r="C114" s="5" t="s">
        <v>681</v>
      </c>
      <c r="D114" s="4" t="s">
        <v>680</v>
      </c>
      <c r="E114" s="7" t="s">
        <v>93</v>
      </c>
      <c r="G114" s="6" t="s">
        <v>43</v>
      </c>
      <c r="H114" s="6" t="s">
        <v>43</v>
      </c>
    </row>
    <row r="115" spans="3:8" ht="31.5" x14ac:dyDescent="0.25">
      <c r="C115" s="5" t="s">
        <v>684</v>
      </c>
      <c r="D115" s="4" t="s">
        <v>683</v>
      </c>
      <c r="E115" s="17" t="s">
        <v>74</v>
      </c>
      <c r="G115" s="6" t="s">
        <v>43</v>
      </c>
      <c r="H115" s="6" t="s">
        <v>43</v>
      </c>
    </row>
    <row r="116" spans="3:8" ht="42" x14ac:dyDescent="0.25">
      <c r="C116" s="5" t="s">
        <v>690</v>
      </c>
      <c r="D116" s="4" t="s">
        <v>1041</v>
      </c>
      <c r="E116" s="17" t="s">
        <v>74</v>
      </c>
      <c r="F116" s="7" t="s">
        <v>45</v>
      </c>
      <c r="G116" s="6" t="s">
        <v>41</v>
      </c>
      <c r="H116" s="6" t="s">
        <v>43</v>
      </c>
    </row>
    <row r="117" spans="3:8" ht="42" x14ac:dyDescent="0.25">
      <c r="C117" s="5" t="s">
        <v>696</v>
      </c>
      <c r="D117" s="4" t="s">
        <v>1043</v>
      </c>
      <c r="E117" s="17" t="s">
        <v>74</v>
      </c>
      <c r="G117" s="6" t="s">
        <v>43</v>
      </c>
      <c r="H117" s="6" t="s">
        <v>43</v>
      </c>
    </row>
    <row r="118" spans="3:8" ht="42" x14ac:dyDescent="0.25">
      <c r="C118" s="5" t="s">
        <v>701</v>
      </c>
      <c r="D118" s="4" t="s">
        <v>700</v>
      </c>
      <c r="E118" s="17" t="s">
        <v>56</v>
      </c>
      <c r="G118" s="6" t="s">
        <v>43</v>
      </c>
      <c r="H118" s="6" t="s">
        <v>43</v>
      </c>
    </row>
    <row r="119" spans="3:8" ht="42" x14ac:dyDescent="0.25">
      <c r="C119" s="5" t="s">
        <v>706</v>
      </c>
      <c r="D119" s="4" t="s">
        <v>705</v>
      </c>
      <c r="E119" s="17" t="s">
        <v>44</v>
      </c>
      <c r="F119" s="7" t="s">
        <v>45</v>
      </c>
      <c r="G119" s="6" t="s">
        <v>41</v>
      </c>
      <c r="H119" s="6" t="s">
        <v>43</v>
      </c>
    </row>
    <row r="120" spans="3:8" ht="21" x14ac:dyDescent="0.25">
      <c r="C120" s="5" t="s">
        <v>712</v>
      </c>
      <c r="D120" s="4" t="s">
        <v>1047</v>
      </c>
      <c r="E120" s="7" t="s">
        <v>93</v>
      </c>
      <c r="G120" s="6" t="s">
        <v>41</v>
      </c>
      <c r="H120" s="6" t="s">
        <v>43</v>
      </c>
    </row>
    <row r="121" spans="3:8" ht="21" x14ac:dyDescent="0.25">
      <c r="C121" s="5" t="s">
        <v>718</v>
      </c>
      <c r="D121" s="4" t="s">
        <v>717</v>
      </c>
      <c r="E121" s="7" t="s">
        <v>44</v>
      </c>
      <c r="G121" s="6" t="s">
        <v>43</v>
      </c>
      <c r="H121" s="6" t="s">
        <v>43</v>
      </c>
    </row>
    <row r="122" spans="3:8" ht="31.5" x14ac:dyDescent="0.25">
      <c r="C122" s="19" t="s">
        <v>1105</v>
      </c>
      <c r="D122" s="4" t="s">
        <v>781</v>
      </c>
      <c r="E122" s="7" t="s">
        <v>56</v>
      </c>
      <c r="G122" s="6" t="s">
        <v>43</v>
      </c>
      <c r="H122" s="6" t="s">
        <v>43</v>
      </c>
    </row>
    <row r="123" spans="3:8" ht="31.5" x14ac:dyDescent="0.25">
      <c r="C123" s="5" t="s">
        <v>724</v>
      </c>
      <c r="D123" s="4" t="s">
        <v>723</v>
      </c>
      <c r="E123" s="7" t="s">
        <v>74</v>
      </c>
      <c r="G123" s="6" t="s">
        <v>43</v>
      </c>
      <c r="H123" s="6" t="s">
        <v>43</v>
      </c>
    </row>
    <row r="124" spans="3:8" ht="31.5" x14ac:dyDescent="0.25">
      <c r="C124" s="5" t="s">
        <v>727</v>
      </c>
      <c r="D124" s="4" t="s">
        <v>726</v>
      </c>
      <c r="E124" s="17" t="s">
        <v>74</v>
      </c>
      <c r="G124" s="6" t="s">
        <v>43</v>
      </c>
      <c r="H124" s="6" t="s">
        <v>43</v>
      </c>
    </row>
    <row r="125" spans="3:8" ht="21" x14ac:dyDescent="0.25">
      <c r="C125" s="5" t="s">
        <v>115</v>
      </c>
      <c r="D125" s="4" t="s">
        <v>730</v>
      </c>
      <c r="E125" s="7" t="s">
        <v>93</v>
      </c>
      <c r="G125" s="6" t="s">
        <v>43</v>
      </c>
      <c r="H125" s="6" t="s">
        <v>43</v>
      </c>
    </row>
    <row r="126" spans="3:8" ht="31.5" x14ac:dyDescent="0.25">
      <c r="C126" s="5" t="s">
        <v>736</v>
      </c>
      <c r="D126" s="4" t="s">
        <v>735</v>
      </c>
      <c r="E126" s="7" t="s">
        <v>74</v>
      </c>
      <c r="G126" s="6" t="s">
        <v>43</v>
      </c>
      <c r="H126" s="6" t="s">
        <v>43</v>
      </c>
    </row>
    <row r="127" spans="3:8" ht="31.5" x14ac:dyDescent="0.25">
      <c r="C127" s="5" t="s">
        <v>741</v>
      </c>
      <c r="D127" s="4" t="s">
        <v>740</v>
      </c>
      <c r="E127" s="7" t="s">
        <v>56</v>
      </c>
      <c r="G127" s="6" t="s">
        <v>43</v>
      </c>
      <c r="H127" s="6" t="s">
        <v>43</v>
      </c>
    </row>
    <row r="128" spans="3:8" ht="21" x14ac:dyDescent="0.25">
      <c r="C128" s="5" t="s">
        <v>746</v>
      </c>
      <c r="D128" s="4" t="s">
        <v>1054</v>
      </c>
      <c r="E128" s="7" t="s">
        <v>44</v>
      </c>
      <c r="G128" s="6" t="s">
        <v>43</v>
      </c>
      <c r="H128" s="6" t="s">
        <v>43</v>
      </c>
    </row>
    <row r="129" spans="3:8" ht="31.5" x14ac:dyDescent="0.25">
      <c r="C129" s="5" t="s">
        <v>752</v>
      </c>
      <c r="D129" s="4" t="s">
        <v>751</v>
      </c>
      <c r="E129" s="7" t="s">
        <v>74</v>
      </c>
      <c r="F129" s="6" t="s">
        <v>203</v>
      </c>
      <c r="G129" s="6" t="s">
        <v>43</v>
      </c>
      <c r="H129" s="6" t="s">
        <v>43</v>
      </c>
    </row>
    <row r="130" spans="3:8" ht="21" x14ac:dyDescent="0.25">
      <c r="C130" s="5" t="s">
        <v>755</v>
      </c>
      <c r="D130" s="4" t="s">
        <v>754</v>
      </c>
      <c r="E130" s="7" t="s">
        <v>44</v>
      </c>
      <c r="F130" s="6" t="s">
        <v>45</v>
      </c>
      <c r="G130" s="6" t="s">
        <v>41</v>
      </c>
      <c r="H130" s="6" t="s">
        <v>41</v>
      </c>
    </row>
    <row r="131" spans="3:8" ht="31.5" x14ac:dyDescent="0.25">
      <c r="C131" s="5" t="s">
        <v>761</v>
      </c>
      <c r="D131" s="4" t="s">
        <v>1057</v>
      </c>
      <c r="E131" s="7" t="s">
        <v>56</v>
      </c>
      <c r="G131" s="6" t="s">
        <v>43</v>
      </c>
      <c r="H131" s="6" t="s">
        <v>43</v>
      </c>
    </row>
    <row r="132" spans="3:8" ht="21" x14ac:dyDescent="0.25">
      <c r="C132" s="5" t="s">
        <v>766</v>
      </c>
      <c r="D132" s="4" t="s">
        <v>765</v>
      </c>
      <c r="E132" s="7" t="s">
        <v>44</v>
      </c>
      <c r="F132" s="6" t="s">
        <v>45</v>
      </c>
      <c r="G132" s="6" t="s">
        <v>41</v>
      </c>
      <c r="H132" s="6" t="s">
        <v>41</v>
      </c>
    </row>
    <row r="133" spans="3:8" ht="31.5" x14ac:dyDescent="0.25">
      <c r="C133" s="5" t="s">
        <v>772</v>
      </c>
      <c r="D133" s="4" t="s">
        <v>1059</v>
      </c>
      <c r="E133" s="7" t="s">
        <v>74</v>
      </c>
      <c r="G133" s="6" t="s">
        <v>41</v>
      </c>
      <c r="H133" s="6" t="s">
        <v>43</v>
      </c>
    </row>
    <row r="134" spans="3:8" ht="31.5" x14ac:dyDescent="0.25">
      <c r="C134" s="19" t="s">
        <v>1106</v>
      </c>
      <c r="D134" s="4" t="s">
        <v>778</v>
      </c>
      <c r="E134" s="7" t="s">
        <v>93</v>
      </c>
      <c r="G134" s="6" t="s">
        <v>43</v>
      </c>
      <c r="H134" s="6" t="s">
        <v>43</v>
      </c>
    </row>
    <row r="135" spans="3:8" ht="31.5" x14ac:dyDescent="0.25">
      <c r="C135" s="19" t="s">
        <v>1107</v>
      </c>
      <c r="D135" s="4" t="s">
        <v>784</v>
      </c>
      <c r="E135" s="7" t="s">
        <v>56</v>
      </c>
      <c r="G135" s="6" t="s">
        <v>43</v>
      </c>
      <c r="H135" s="6" t="s">
        <v>43</v>
      </c>
    </row>
    <row r="136" spans="3:8" ht="21" x14ac:dyDescent="0.25">
      <c r="C136" s="5" t="s">
        <v>788</v>
      </c>
      <c r="D136" s="4" t="s">
        <v>1061</v>
      </c>
      <c r="E136" s="7" t="s">
        <v>44</v>
      </c>
      <c r="F136" s="6" t="s">
        <v>203</v>
      </c>
      <c r="G136" s="6" t="s">
        <v>41</v>
      </c>
      <c r="H136" s="6" t="s">
        <v>41</v>
      </c>
    </row>
    <row r="137" spans="3:8" ht="31.5" x14ac:dyDescent="0.25">
      <c r="C137" s="5" t="s">
        <v>794</v>
      </c>
      <c r="D137" s="4" t="s">
        <v>793</v>
      </c>
      <c r="E137" s="7" t="s">
        <v>56</v>
      </c>
      <c r="G137" s="6" t="s">
        <v>43</v>
      </c>
      <c r="H137" s="6" t="s">
        <v>43</v>
      </c>
    </row>
    <row r="138" spans="3:8" x14ac:dyDescent="0.25">
      <c r="C138" s="5" t="s">
        <v>797</v>
      </c>
      <c r="D138" s="4" t="s">
        <v>796</v>
      </c>
      <c r="E138" s="17" t="s">
        <v>44</v>
      </c>
      <c r="F138" s="7" t="s">
        <v>45</v>
      </c>
      <c r="G138" s="6" t="s">
        <v>41</v>
      </c>
      <c r="H138" s="6" t="s">
        <v>41</v>
      </c>
    </row>
    <row r="139" spans="3:8" ht="31.5" x14ac:dyDescent="0.25">
      <c r="C139" s="5" t="s">
        <v>803</v>
      </c>
      <c r="D139" s="4" t="s">
        <v>1064</v>
      </c>
      <c r="E139" s="7" t="s">
        <v>74</v>
      </c>
      <c r="G139" s="6" t="s">
        <v>43</v>
      </c>
      <c r="H139" s="6" t="s">
        <v>43</v>
      </c>
    </row>
    <row r="140" spans="3:8" ht="31.5" x14ac:dyDescent="0.25">
      <c r="C140" s="5" t="s">
        <v>808</v>
      </c>
      <c r="D140" s="4" t="s">
        <v>1066</v>
      </c>
      <c r="E140" s="7" t="s">
        <v>56</v>
      </c>
      <c r="G140" s="6" t="s">
        <v>43</v>
      </c>
      <c r="H140" s="6" t="s">
        <v>43</v>
      </c>
    </row>
    <row r="141" spans="3:8" ht="31.5" x14ac:dyDescent="0.25">
      <c r="C141" s="5" t="s">
        <v>813</v>
      </c>
      <c r="D141" s="4" t="s">
        <v>1068</v>
      </c>
      <c r="E141" s="7" t="s">
        <v>74</v>
      </c>
      <c r="F141" s="6" t="s">
        <v>203</v>
      </c>
      <c r="G141" s="6" t="s">
        <v>43</v>
      </c>
      <c r="H141" s="6" t="s">
        <v>43</v>
      </c>
    </row>
    <row r="142" spans="3:8" ht="21" x14ac:dyDescent="0.25">
      <c r="C142" s="5" t="s">
        <v>819</v>
      </c>
      <c r="D142" s="4" t="s">
        <v>818</v>
      </c>
      <c r="E142" s="7" t="s">
        <v>44</v>
      </c>
      <c r="G142" s="6" t="s">
        <v>43</v>
      </c>
      <c r="H142" s="6" t="s">
        <v>43</v>
      </c>
    </row>
    <row r="143" spans="3:8" ht="21" x14ac:dyDescent="0.25">
      <c r="C143" s="19" t="s">
        <v>1108</v>
      </c>
      <c r="D143" s="4" t="s">
        <v>824</v>
      </c>
      <c r="E143" s="7"/>
      <c r="G143" s="6" t="s">
        <v>43</v>
      </c>
      <c r="H143" s="6" t="s">
        <v>43</v>
      </c>
    </row>
    <row r="144" spans="3:8" ht="31.5" x14ac:dyDescent="0.25">
      <c r="C144" s="5" t="s">
        <v>828</v>
      </c>
      <c r="D144" s="4" t="s">
        <v>827</v>
      </c>
      <c r="E144" s="7" t="s">
        <v>56</v>
      </c>
      <c r="G144" s="6" t="s">
        <v>43</v>
      </c>
      <c r="H144" s="6" t="s">
        <v>43</v>
      </c>
    </row>
    <row r="145" spans="3:8" ht="21" x14ac:dyDescent="0.25">
      <c r="C145" s="19" t="s">
        <v>1109</v>
      </c>
      <c r="D145" s="4" t="s">
        <v>830</v>
      </c>
      <c r="E145" s="17" t="s">
        <v>93</v>
      </c>
      <c r="G145" s="6" t="s">
        <v>43</v>
      </c>
      <c r="H145" s="6" t="s">
        <v>43</v>
      </c>
    </row>
    <row r="146" spans="3:8" ht="31.5" x14ac:dyDescent="0.25">
      <c r="C146" s="5" t="s">
        <v>834</v>
      </c>
      <c r="D146" s="4" t="s">
        <v>833</v>
      </c>
      <c r="E146" s="7" t="s">
        <v>74</v>
      </c>
      <c r="G146" s="6" t="s">
        <v>43</v>
      </c>
      <c r="H146" s="6" t="s">
        <v>43</v>
      </c>
    </row>
    <row r="147" spans="3:8" x14ac:dyDescent="0.25">
      <c r="C147" s="5" t="s">
        <v>1101</v>
      </c>
      <c r="D147" s="4" t="s">
        <v>838</v>
      </c>
      <c r="E147" s="17" t="s">
        <v>56</v>
      </c>
      <c r="G147" s="6" t="s">
        <v>41</v>
      </c>
      <c r="H147" s="6" t="s">
        <v>43</v>
      </c>
    </row>
    <row r="148" spans="3:8" ht="31.5" x14ac:dyDescent="0.25">
      <c r="C148" s="5" t="s">
        <v>845</v>
      </c>
      <c r="D148" s="4" t="s">
        <v>1073</v>
      </c>
      <c r="E148" s="7" t="s">
        <v>56</v>
      </c>
      <c r="G148" s="6" t="s">
        <v>43</v>
      </c>
      <c r="H148" s="6" t="s">
        <v>43</v>
      </c>
    </row>
    <row r="149" spans="3:8" ht="21" x14ac:dyDescent="0.25">
      <c r="C149" s="19" t="s">
        <v>1110</v>
      </c>
      <c r="D149" s="4" t="s">
        <v>848</v>
      </c>
      <c r="E149" s="7" t="s">
        <v>93</v>
      </c>
      <c r="G149" s="6" t="s">
        <v>43</v>
      </c>
      <c r="H149" s="6" t="s">
        <v>43</v>
      </c>
    </row>
    <row r="150" spans="3:8" ht="31.5" x14ac:dyDescent="0.25">
      <c r="C150" s="5" t="s">
        <v>852</v>
      </c>
      <c r="D150" s="4" t="s">
        <v>851</v>
      </c>
      <c r="E150" s="7" t="s">
        <v>56</v>
      </c>
      <c r="F150" s="6" t="s">
        <v>203</v>
      </c>
      <c r="G150" s="6" t="s">
        <v>43</v>
      </c>
      <c r="H150" s="6" t="s">
        <v>43</v>
      </c>
    </row>
    <row r="151" spans="3:8" ht="21" x14ac:dyDescent="0.25">
      <c r="C151" s="5" t="s">
        <v>858</v>
      </c>
      <c r="D151" s="4" t="s">
        <v>1075</v>
      </c>
      <c r="E151" s="7" t="s">
        <v>44</v>
      </c>
      <c r="G151" s="6" t="s">
        <v>41</v>
      </c>
      <c r="H151" s="6" t="s">
        <v>43</v>
      </c>
    </row>
    <row r="152" spans="3:8" ht="31.5" x14ac:dyDescent="0.25">
      <c r="C152" s="5" t="s">
        <v>864</v>
      </c>
      <c r="D152" s="4" t="s">
        <v>863</v>
      </c>
      <c r="E152" s="7" t="s">
        <v>74</v>
      </c>
      <c r="F152" s="6" t="s">
        <v>45</v>
      </c>
      <c r="G152" s="6" t="s">
        <v>41</v>
      </c>
      <c r="H152" s="6" t="s">
        <v>41</v>
      </c>
    </row>
    <row r="153" spans="3:8" ht="31.5" x14ac:dyDescent="0.25">
      <c r="C153" s="5" t="s">
        <v>869</v>
      </c>
      <c r="D153" s="4" t="s">
        <v>1078</v>
      </c>
      <c r="E153" s="17" t="s">
        <v>74</v>
      </c>
      <c r="G153" s="6" t="s">
        <v>43</v>
      </c>
      <c r="H153" s="6" t="s">
        <v>43</v>
      </c>
    </row>
    <row r="154" spans="3:8" ht="21" x14ac:dyDescent="0.25">
      <c r="C154" s="5" t="s">
        <v>874</v>
      </c>
      <c r="D154" s="4" t="s">
        <v>1080</v>
      </c>
      <c r="E154" s="7" t="s">
        <v>93</v>
      </c>
      <c r="G154" s="6" t="s">
        <v>43</v>
      </c>
      <c r="H154" s="6" t="s">
        <v>43</v>
      </c>
    </row>
    <row r="155" spans="3:8" ht="21" x14ac:dyDescent="0.25">
      <c r="C155" s="19" t="s">
        <v>1111</v>
      </c>
      <c r="D155" s="4" t="s">
        <v>854</v>
      </c>
      <c r="E155" s="17" t="s">
        <v>93</v>
      </c>
      <c r="G155" s="6" t="s">
        <v>43</v>
      </c>
      <c r="H155" s="6" t="s">
        <v>43</v>
      </c>
    </row>
    <row r="156" spans="3:8" ht="31.5" x14ac:dyDescent="0.25">
      <c r="C156" s="5" t="s">
        <v>878</v>
      </c>
      <c r="D156" s="4" t="s">
        <v>877</v>
      </c>
      <c r="E156" s="7" t="s">
        <v>74</v>
      </c>
      <c r="G156" s="6" t="s">
        <v>43</v>
      </c>
      <c r="H156" s="6" t="s">
        <v>43</v>
      </c>
    </row>
    <row r="157" spans="3:8" ht="31.5" x14ac:dyDescent="0.25">
      <c r="C157" s="5" t="s">
        <v>880</v>
      </c>
      <c r="D157" s="4" t="s">
        <v>1083</v>
      </c>
      <c r="E157" s="7"/>
      <c r="F157" s="7" t="s">
        <v>203</v>
      </c>
      <c r="G157" s="6" t="s">
        <v>41</v>
      </c>
      <c r="H157" s="6" t="s">
        <v>41</v>
      </c>
    </row>
    <row r="158" spans="3:8" ht="31.5" x14ac:dyDescent="0.25">
      <c r="C158" s="5" t="s">
        <v>886</v>
      </c>
      <c r="D158" s="4" t="s">
        <v>1085</v>
      </c>
      <c r="E158" s="7" t="s">
        <v>74</v>
      </c>
      <c r="G158" s="6" t="s">
        <v>43</v>
      </c>
      <c r="H158" s="6" t="s">
        <v>43</v>
      </c>
    </row>
    <row r="159" spans="3:8" ht="21" x14ac:dyDescent="0.25">
      <c r="C159" s="19" t="s">
        <v>1112</v>
      </c>
      <c r="D159" s="4" t="s">
        <v>184</v>
      </c>
      <c r="E159" s="7" t="s">
        <v>93</v>
      </c>
      <c r="G159" s="6" t="s">
        <v>43</v>
      </c>
      <c r="H159" s="6" t="s">
        <v>43</v>
      </c>
    </row>
    <row r="160" spans="3:8" x14ac:dyDescent="0.25">
      <c r="C160" s="5" t="s">
        <v>892</v>
      </c>
      <c r="D160" s="4" t="s">
        <v>891</v>
      </c>
      <c r="E160" s="17" t="s">
        <v>44</v>
      </c>
      <c r="F160" s="7" t="s">
        <v>45</v>
      </c>
      <c r="G160" s="6" t="s">
        <v>41</v>
      </c>
      <c r="H160" s="6" t="s">
        <v>41</v>
      </c>
    </row>
    <row r="161" spans="3:8" ht="21" x14ac:dyDescent="0.25">
      <c r="C161" s="5" t="s">
        <v>898</v>
      </c>
      <c r="D161" s="4" t="s">
        <v>1088</v>
      </c>
      <c r="E161" s="7" t="s">
        <v>44</v>
      </c>
      <c r="G161" s="6" t="s">
        <v>43</v>
      </c>
      <c r="H161" s="6" t="s">
        <v>43</v>
      </c>
    </row>
    <row r="162" spans="3:8" ht="31.5" x14ac:dyDescent="0.25">
      <c r="C162" s="5" t="s">
        <v>904</v>
      </c>
      <c r="D162" s="4" t="s">
        <v>1090</v>
      </c>
      <c r="E162" s="7" t="s">
        <v>74</v>
      </c>
      <c r="F162" s="6" t="s">
        <v>203</v>
      </c>
      <c r="G162" s="6" t="s">
        <v>41</v>
      </c>
      <c r="H162" s="6" t="s">
        <v>43</v>
      </c>
    </row>
  </sheetData>
  <autoFilter ref="C5:H162" xr:uid="{E5F1D3EC-ECD1-4641-93BC-E94E63078A6B}">
    <sortState xmlns:xlrd2="http://schemas.microsoft.com/office/spreadsheetml/2017/richdata2" ref="C6:H162">
      <sortCondition ref="C5:C162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9350-E729-49B7-9D06-00910A2F8DCE}">
  <dimension ref="A1:HQ219"/>
  <sheetViews>
    <sheetView topLeftCell="A121" zoomScale="115" zoomScaleNormal="115" workbookViewId="0">
      <selection activeCell="A201" sqref="A201"/>
    </sheetView>
  </sheetViews>
  <sheetFormatPr defaultColWidth="11.42578125" defaultRowHeight="15" x14ac:dyDescent="0.25"/>
  <cols>
    <col min="1" max="1" width="33" style="3" customWidth="1"/>
    <col min="2" max="2" width="35.85546875" style="3" customWidth="1"/>
    <col min="3" max="4" width="11.42578125" style="3"/>
    <col min="5" max="5" width="34.140625" style="3" customWidth="1"/>
    <col min="6" max="16384" width="11.42578125" style="3"/>
  </cols>
  <sheetData>
    <row r="1" spans="1:225" s="2" customFormat="1" ht="42" x14ac:dyDescent="0.25">
      <c r="A1" s="30" t="s">
        <v>1113</v>
      </c>
      <c r="B1" s="30" t="s">
        <v>1114</v>
      </c>
      <c r="H1" t="s">
        <v>36</v>
      </c>
      <c r="I1" t="s">
        <v>51</v>
      </c>
      <c r="J1" t="s">
        <v>62</v>
      </c>
      <c r="K1" t="s">
        <v>1115</v>
      </c>
      <c r="L1" t="s">
        <v>1116</v>
      </c>
      <c r="M1" t="s">
        <v>71</v>
      </c>
      <c r="N1" t="s">
        <v>91</v>
      </c>
      <c r="O1" t="s">
        <v>95</v>
      </c>
      <c r="P1" t="s">
        <v>102</v>
      </c>
      <c r="Q1" t="s">
        <v>1117</v>
      </c>
      <c r="R1" t="s">
        <v>1118</v>
      </c>
      <c r="S1" t="s">
        <v>1119</v>
      </c>
      <c r="T1" t="s">
        <v>110</v>
      </c>
      <c r="U1" t="s">
        <v>1120</v>
      </c>
      <c r="V1" t="s">
        <v>114</v>
      </c>
      <c r="W1" t="s">
        <v>119</v>
      </c>
      <c r="X1" t="s">
        <v>82</v>
      </c>
      <c r="Y1" t="s">
        <v>130</v>
      </c>
      <c r="Z1" t="s">
        <v>1121</v>
      </c>
      <c r="AA1" t="s">
        <v>137</v>
      </c>
      <c r="AB1" t="s">
        <v>144</v>
      </c>
      <c r="AC1" t="s">
        <v>1122</v>
      </c>
      <c r="AD1" t="s">
        <v>152</v>
      </c>
      <c r="AE1" t="s">
        <v>158</v>
      </c>
      <c r="AF1" t="s">
        <v>165</v>
      </c>
      <c r="AG1" t="s">
        <v>171</v>
      </c>
      <c r="AH1" t="s">
        <v>178</v>
      </c>
      <c r="AI1" t="s">
        <v>185</v>
      </c>
      <c r="AJ1" t="s">
        <v>1123</v>
      </c>
      <c r="AK1" t="s">
        <v>188</v>
      </c>
      <c r="AL1" t="s">
        <v>195</v>
      </c>
      <c r="AM1" t="s">
        <v>201</v>
      </c>
      <c r="AN1" t="s">
        <v>210</v>
      </c>
      <c r="AO1" t="s">
        <v>213</v>
      </c>
      <c r="AP1" s="12" t="s">
        <v>690</v>
      </c>
      <c r="AQ1" t="s">
        <v>1124</v>
      </c>
      <c r="AR1" t="s">
        <v>1125</v>
      </c>
      <c r="AS1" s="32" t="s">
        <v>222</v>
      </c>
      <c r="AT1" t="s">
        <v>229</v>
      </c>
      <c r="AU1" s="32" t="s">
        <v>1126</v>
      </c>
      <c r="AV1" s="32" t="s">
        <v>236</v>
      </c>
      <c r="AW1" t="s">
        <v>242</v>
      </c>
      <c r="AX1" t="s">
        <v>248</v>
      </c>
      <c r="AY1" t="s">
        <v>255</v>
      </c>
      <c r="AZ1" s="5" t="s">
        <v>260</v>
      </c>
      <c r="BA1" t="s">
        <v>273</v>
      </c>
      <c r="BB1" s="5" t="s">
        <v>277</v>
      </c>
      <c r="BC1" t="s">
        <v>283</v>
      </c>
      <c r="BD1" t="s">
        <v>287</v>
      </c>
      <c r="BE1" t="s">
        <v>1127</v>
      </c>
      <c r="BF1" t="s">
        <v>1128</v>
      </c>
      <c r="BG1" t="s">
        <v>1129</v>
      </c>
      <c r="BH1" s="7" t="s">
        <v>293</v>
      </c>
      <c r="BI1" t="s">
        <v>1130</v>
      </c>
      <c r="BJ1" t="s">
        <v>300</v>
      </c>
      <c r="BK1" t="s">
        <v>306</v>
      </c>
      <c r="BL1" t="s">
        <v>309</v>
      </c>
      <c r="BM1" s="12" t="s">
        <v>315</v>
      </c>
      <c r="BN1" t="s">
        <v>321</v>
      </c>
      <c r="BO1" s="5" t="s">
        <v>327</v>
      </c>
      <c r="BP1" t="s">
        <v>333</v>
      </c>
      <c r="BQ1" t="s">
        <v>339</v>
      </c>
      <c r="BR1" t="s">
        <v>344</v>
      </c>
      <c r="BS1" t="s">
        <v>1131</v>
      </c>
      <c r="BT1" t="s">
        <v>350</v>
      </c>
      <c r="BU1" t="s">
        <v>355</v>
      </c>
      <c r="BV1" t="s">
        <v>1132</v>
      </c>
      <c r="BW1" t="s">
        <v>267</v>
      </c>
      <c r="BX1" t="s">
        <v>1133</v>
      </c>
      <c r="BY1" t="s">
        <v>1134</v>
      </c>
      <c r="BZ1" t="s">
        <v>1135</v>
      </c>
      <c r="CA1" t="s">
        <v>368</v>
      </c>
      <c r="CB1" s="5" t="s">
        <v>372</v>
      </c>
      <c r="CC1" s="32" t="s">
        <v>378</v>
      </c>
      <c r="CD1" s="33" t="s">
        <v>1136</v>
      </c>
      <c r="CE1" t="s">
        <v>383</v>
      </c>
      <c r="CF1" t="s">
        <v>1137</v>
      </c>
      <c r="CG1" t="s">
        <v>389</v>
      </c>
      <c r="CH1" t="s">
        <v>1138</v>
      </c>
      <c r="CI1" t="s">
        <v>393</v>
      </c>
      <c r="CJ1" t="s">
        <v>1139</v>
      </c>
      <c r="CK1" t="s">
        <v>396</v>
      </c>
      <c r="CL1" t="s">
        <v>402</v>
      </c>
      <c r="CM1" s="5" t="s">
        <v>408</v>
      </c>
      <c r="CN1" t="s">
        <v>413</v>
      </c>
      <c r="CO1" t="s">
        <v>419</v>
      </c>
      <c r="CP1" t="s">
        <v>425</v>
      </c>
      <c r="CQ1" t="s">
        <v>1140</v>
      </c>
      <c r="CR1" t="s">
        <v>1141</v>
      </c>
      <c r="CS1" t="s">
        <v>1142</v>
      </c>
      <c r="CT1" t="s">
        <v>431</v>
      </c>
      <c r="CU1" s="32" t="s">
        <v>437</v>
      </c>
      <c r="CV1" s="5" t="s">
        <v>443</v>
      </c>
      <c r="CW1" t="s">
        <v>449</v>
      </c>
      <c r="CX1" t="s">
        <v>1143</v>
      </c>
      <c r="CY1" t="s">
        <v>1144</v>
      </c>
      <c r="CZ1" t="s">
        <v>1145</v>
      </c>
      <c r="DA1" t="s">
        <v>1146</v>
      </c>
      <c r="DB1" t="s">
        <v>455</v>
      </c>
      <c r="DC1" t="s">
        <v>1147</v>
      </c>
      <c r="DD1" t="s">
        <v>460</v>
      </c>
      <c r="DE1" t="s">
        <v>466</v>
      </c>
      <c r="DF1" t="s">
        <v>472</v>
      </c>
      <c r="DG1" t="s">
        <v>478</v>
      </c>
      <c r="DH1" t="s">
        <v>1148</v>
      </c>
      <c r="DI1" s="5" t="s">
        <v>482</v>
      </c>
      <c r="DJ1" t="s">
        <v>487</v>
      </c>
      <c r="DK1" s="12" t="s">
        <v>696</v>
      </c>
      <c r="DL1" s="12" t="s">
        <v>490</v>
      </c>
      <c r="DM1" t="s">
        <v>1149</v>
      </c>
      <c r="DN1" t="s">
        <v>496</v>
      </c>
      <c r="DO1" t="s">
        <v>502</v>
      </c>
      <c r="DP1" t="s">
        <v>508</v>
      </c>
      <c r="DQ1" t="s">
        <v>513</v>
      </c>
      <c r="DR1" t="s">
        <v>1150</v>
      </c>
      <c r="DS1" t="s">
        <v>1151</v>
      </c>
      <c r="DT1" t="s">
        <v>1152</v>
      </c>
      <c r="DU1" t="s">
        <v>1153</v>
      </c>
      <c r="DV1" t="s">
        <v>519</v>
      </c>
      <c r="DW1" t="s">
        <v>525</v>
      </c>
      <c r="DX1" t="s">
        <v>531</v>
      </c>
      <c r="DY1" t="s">
        <v>535</v>
      </c>
      <c r="DZ1" t="s">
        <v>540</v>
      </c>
      <c r="EA1" t="s">
        <v>1154</v>
      </c>
      <c r="EB1" t="s">
        <v>546</v>
      </c>
      <c r="EC1" t="s">
        <v>549</v>
      </c>
      <c r="ED1" t="s">
        <v>1155</v>
      </c>
      <c r="EE1" t="s">
        <v>555</v>
      </c>
      <c r="EF1" s="12" t="s">
        <v>480</v>
      </c>
      <c r="EG1" t="s">
        <v>563</v>
      </c>
      <c r="EH1" t="s">
        <v>1156</v>
      </c>
      <c r="EI1" t="s">
        <v>569</v>
      </c>
      <c r="EJ1" s="12" t="s">
        <v>701</v>
      </c>
      <c r="EK1" t="s">
        <v>577</v>
      </c>
      <c r="EL1" s="12" t="s">
        <v>706</v>
      </c>
      <c r="EM1" t="s">
        <v>583</v>
      </c>
      <c r="EN1" t="s">
        <v>590</v>
      </c>
      <c r="EO1" t="s">
        <v>596</v>
      </c>
      <c r="EP1" t="s">
        <v>599</v>
      </c>
      <c r="EQ1" t="s">
        <v>1157</v>
      </c>
      <c r="ER1" t="s">
        <v>1158</v>
      </c>
      <c r="ES1" t="s">
        <v>1159</v>
      </c>
      <c r="ET1" t="s">
        <v>605</v>
      </c>
      <c r="EU1" t="s">
        <v>610</v>
      </c>
      <c r="EV1" t="s">
        <v>616</v>
      </c>
      <c r="EW1" t="s">
        <v>625</v>
      </c>
      <c r="EX1" t="s">
        <v>1160</v>
      </c>
      <c r="EY1" t="s">
        <v>1161</v>
      </c>
      <c r="EZ1" t="s">
        <v>629</v>
      </c>
      <c r="FA1" t="s">
        <v>633</v>
      </c>
      <c r="FB1" t="s">
        <v>639</v>
      </c>
      <c r="FC1" t="s">
        <v>648</v>
      </c>
      <c r="FD1" t="s">
        <v>654</v>
      </c>
      <c r="FE1" t="s">
        <v>660</v>
      </c>
      <c r="FF1" t="s">
        <v>665</v>
      </c>
      <c r="FG1" t="s">
        <v>671</v>
      </c>
      <c r="FH1" t="s">
        <v>676</v>
      </c>
      <c r="FI1" t="s">
        <v>1162</v>
      </c>
      <c r="FJ1" s="32" t="s">
        <v>1163</v>
      </c>
      <c r="FK1" t="s">
        <v>681</v>
      </c>
      <c r="FL1" t="s">
        <v>712</v>
      </c>
      <c r="FM1" t="s">
        <v>1164</v>
      </c>
      <c r="FN1" t="s">
        <v>718</v>
      </c>
      <c r="FO1" t="s">
        <v>724</v>
      </c>
      <c r="FP1" t="s">
        <v>1165</v>
      </c>
      <c r="FQ1" s="12" t="s">
        <v>727</v>
      </c>
      <c r="FR1" t="s">
        <v>115</v>
      </c>
      <c r="FS1" t="s">
        <v>736</v>
      </c>
      <c r="FT1" t="s">
        <v>741</v>
      </c>
      <c r="FU1" t="s">
        <v>1166</v>
      </c>
      <c r="FV1" t="s">
        <v>746</v>
      </c>
      <c r="FW1" t="s">
        <v>1167</v>
      </c>
      <c r="FX1" t="s">
        <v>1168</v>
      </c>
      <c r="FY1" t="s">
        <v>1169</v>
      </c>
      <c r="FZ1" t="s">
        <v>1170</v>
      </c>
      <c r="GA1" t="s">
        <v>752</v>
      </c>
      <c r="GB1" t="s">
        <v>755</v>
      </c>
      <c r="GC1" t="s">
        <v>761</v>
      </c>
      <c r="GD1" t="s">
        <v>766</v>
      </c>
      <c r="GE1" t="s">
        <v>1171</v>
      </c>
      <c r="GF1" t="s">
        <v>772</v>
      </c>
      <c r="GG1" t="s">
        <v>779</v>
      </c>
      <c r="GH1" t="s">
        <v>782</v>
      </c>
      <c r="GI1" t="s">
        <v>1172</v>
      </c>
      <c r="GJ1" t="s">
        <v>785</v>
      </c>
      <c r="GK1" t="s">
        <v>788</v>
      </c>
      <c r="GL1" t="s">
        <v>794</v>
      </c>
      <c r="GM1" t="s">
        <v>1173</v>
      </c>
      <c r="GN1" t="s">
        <v>1174</v>
      </c>
      <c r="GO1" s="13" t="s">
        <v>797</v>
      </c>
      <c r="GP1" t="s">
        <v>1175</v>
      </c>
      <c r="GQ1" t="s">
        <v>803</v>
      </c>
      <c r="GR1" s="12" t="s">
        <v>869</v>
      </c>
      <c r="GS1" t="s">
        <v>808</v>
      </c>
      <c r="GT1" t="s">
        <v>813</v>
      </c>
      <c r="GU1" t="s">
        <v>819</v>
      </c>
      <c r="GV1" t="s">
        <v>828</v>
      </c>
      <c r="GW1" s="12" t="s">
        <v>831</v>
      </c>
      <c r="GX1" t="s">
        <v>834</v>
      </c>
      <c r="GY1" s="12" t="s">
        <v>1101</v>
      </c>
      <c r="GZ1" t="s">
        <v>845</v>
      </c>
      <c r="HA1" t="s">
        <v>849</v>
      </c>
      <c r="HB1" t="s">
        <v>852</v>
      </c>
      <c r="HC1" t="s">
        <v>858</v>
      </c>
      <c r="HD1" t="s">
        <v>864</v>
      </c>
      <c r="HE1" s="12" t="s">
        <v>855</v>
      </c>
      <c r="HF1" t="s">
        <v>1176</v>
      </c>
      <c r="HG1" t="s">
        <v>1177</v>
      </c>
      <c r="HH1" t="s">
        <v>874</v>
      </c>
      <c r="HI1" s="12" t="s">
        <v>684</v>
      </c>
      <c r="HJ1" t="s">
        <v>878</v>
      </c>
      <c r="HK1" s="13" t="s">
        <v>880</v>
      </c>
      <c r="HL1" t="s">
        <v>886</v>
      </c>
      <c r="HM1" s="32" t="s">
        <v>1178</v>
      </c>
      <c r="HN1" s="13" t="s">
        <v>642</v>
      </c>
      <c r="HO1" s="13" t="s">
        <v>892</v>
      </c>
      <c r="HP1" t="s">
        <v>898</v>
      </c>
      <c r="HQ1" t="s">
        <v>904</v>
      </c>
    </row>
    <row r="2" spans="1:225" x14ac:dyDescent="0.25">
      <c r="A2" t="s">
        <v>36</v>
      </c>
      <c r="B2" s="65" t="s">
        <v>44</v>
      </c>
      <c r="D2" s="3" t="s">
        <v>36</v>
      </c>
      <c r="E2" s="65" t="s">
        <v>44</v>
      </c>
      <c r="H2" t="s">
        <v>44</v>
      </c>
      <c r="I2" t="s">
        <v>56</v>
      </c>
      <c r="J2" s="65" t="s">
        <v>56</v>
      </c>
      <c r="K2" s="31" t="s">
        <v>93</v>
      </c>
      <c r="L2" t="s">
        <v>93</v>
      </c>
      <c r="M2" t="s">
        <v>74</v>
      </c>
      <c r="N2" t="s">
        <v>93</v>
      </c>
      <c r="O2" t="s">
        <v>56</v>
      </c>
      <c r="P2" t="s">
        <v>56</v>
      </c>
      <c r="Q2" t="s">
        <v>93</v>
      </c>
      <c r="R2" t="s">
        <v>93</v>
      </c>
      <c r="S2" t="s">
        <v>93</v>
      </c>
      <c r="T2" t="s">
        <v>56</v>
      </c>
      <c r="U2" t="s">
        <v>93</v>
      </c>
      <c r="V2" t="s">
        <v>93</v>
      </c>
      <c r="W2" t="s">
        <v>74</v>
      </c>
      <c r="X2" t="s">
        <v>93</v>
      </c>
      <c r="Y2" t="s">
        <v>56</v>
      </c>
      <c r="Z2" t="s">
        <v>93</v>
      </c>
      <c r="AA2" t="s">
        <v>56</v>
      </c>
      <c r="AB2" t="s">
        <v>74</v>
      </c>
      <c r="AC2" t="s">
        <v>93</v>
      </c>
      <c r="AD2" t="s">
        <v>74</v>
      </c>
      <c r="AE2" t="s">
        <v>74</v>
      </c>
      <c r="AF2" t="s">
        <v>56</v>
      </c>
      <c r="AG2" t="s">
        <v>56</v>
      </c>
      <c r="AH2" t="s">
        <v>56</v>
      </c>
      <c r="AI2" t="s">
        <v>93</v>
      </c>
      <c r="AJ2" t="s">
        <v>93</v>
      </c>
      <c r="AK2" t="s">
        <v>56</v>
      </c>
      <c r="AL2" t="s">
        <v>44</v>
      </c>
      <c r="AM2" t="s">
        <v>44</v>
      </c>
      <c r="AN2" t="s">
        <v>74</v>
      </c>
      <c r="AO2" t="s">
        <v>74</v>
      </c>
      <c r="AP2" t="s">
        <v>74</v>
      </c>
      <c r="AQ2" t="s">
        <v>93</v>
      </c>
      <c r="AR2" t="s">
        <v>93</v>
      </c>
      <c r="AS2" t="s">
        <v>44</v>
      </c>
      <c r="AT2" t="s">
        <v>44</v>
      </c>
      <c r="AU2" t="s">
        <v>93</v>
      </c>
      <c r="AV2" t="s">
        <v>93</v>
      </c>
      <c r="AW2" t="s">
        <v>56</v>
      </c>
      <c r="AX2" t="s">
        <v>56</v>
      </c>
      <c r="AY2" t="s">
        <v>74</v>
      </c>
      <c r="AZ2" t="s">
        <v>74</v>
      </c>
      <c r="BA2" t="s">
        <v>56</v>
      </c>
      <c r="BB2" t="s">
        <v>74</v>
      </c>
      <c r="BC2" t="s">
        <v>93</v>
      </c>
      <c r="BD2" t="s">
        <v>56</v>
      </c>
      <c r="BE2" t="s">
        <v>93</v>
      </c>
      <c r="BF2" t="s">
        <v>93</v>
      </c>
      <c r="BG2" t="s">
        <v>93</v>
      </c>
      <c r="BH2" t="s">
        <v>44</v>
      </c>
      <c r="BI2" t="s">
        <v>93</v>
      </c>
      <c r="BJ2" t="s">
        <v>74</v>
      </c>
      <c r="BK2" t="s">
        <v>56</v>
      </c>
      <c r="BL2" t="s">
        <v>56</v>
      </c>
      <c r="BM2" t="s">
        <v>44</v>
      </c>
      <c r="BN2" t="s">
        <v>56</v>
      </c>
      <c r="BO2" t="s">
        <v>74</v>
      </c>
      <c r="BP2" s="31" t="s">
        <v>56</v>
      </c>
      <c r="BQ2" t="s">
        <v>56</v>
      </c>
      <c r="BR2" t="s">
        <v>44</v>
      </c>
      <c r="BS2" t="s">
        <v>93</v>
      </c>
      <c r="BT2" t="s">
        <v>74</v>
      </c>
      <c r="BU2" t="s">
        <v>44</v>
      </c>
      <c r="BV2" t="s">
        <v>93</v>
      </c>
      <c r="BW2" t="s">
        <v>56</v>
      </c>
      <c r="BX2" t="s">
        <v>93</v>
      </c>
      <c r="BY2" t="s">
        <v>93</v>
      </c>
      <c r="BZ2" t="s">
        <v>93</v>
      </c>
      <c r="CA2" t="s">
        <v>56</v>
      </c>
      <c r="CB2" t="s">
        <v>44</v>
      </c>
      <c r="CC2" t="s">
        <v>56</v>
      </c>
      <c r="CD2" t="s">
        <v>93</v>
      </c>
      <c r="CE2" t="s">
        <v>74</v>
      </c>
      <c r="CF2" t="s">
        <v>93</v>
      </c>
      <c r="CG2" t="s">
        <v>93</v>
      </c>
      <c r="CH2" t="s">
        <v>93</v>
      </c>
      <c r="CI2" t="s">
        <v>56</v>
      </c>
      <c r="CJ2" t="s">
        <v>93</v>
      </c>
      <c r="CK2" t="s">
        <v>56</v>
      </c>
      <c r="CL2" s="31" t="s">
        <v>74</v>
      </c>
      <c r="CM2" t="s">
        <v>44</v>
      </c>
      <c r="CN2" s="31" t="s">
        <v>93</v>
      </c>
      <c r="CO2" t="s">
        <v>74</v>
      </c>
      <c r="CP2" t="s">
        <v>74</v>
      </c>
      <c r="CQ2" t="s">
        <v>93</v>
      </c>
      <c r="CR2" t="s">
        <v>93</v>
      </c>
      <c r="CS2" t="s">
        <v>93</v>
      </c>
      <c r="CT2" t="s">
        <v>74</v>
      </c>
      <c r="CU2" s="31" t="s">
        <v>56</v>
      </c>
      <c r="CV2" t="s">
        <v>74</v>
      </c>
      <c r="CW2" t="s">
        <v>56</v>
      </c>
      <c r="CX2" t="s">
        <v>93</v>
      </c>
      <c r="CY2" t="s">
        <v>93</v>
      </c>
      <c r="CZ2" t="s">
        <v>93</v>
      </c>
      <c r="DA2" t="s">
        <v>93</v>
      </c>
      <c r="DB2" t="s">
        <v>56</v>
      </c>
      <c r="DC2" t="s">
        <v>93</v>
      </c>
      <c r="DD2" s="31" t="s">
        <v>74</v>
      </c>
      <c r="DE2" t="s">
        <v>56</v>
      </c>
      <c r="DF2" t="s">
        <v>74</v>
      </c>
      <c r="DG2" t="s">
        <v>74</v>
      </c>
      <c r="DH2" t="s">
        <v>93</v>
      </c>
      <c r="DI2" t="s">
        <v>56</v>
      </c>
      <c r="DJ2" t="s">
        <v>93</v>
      </c>
      <c r="DK2" t="s">
        <v>74</v>
      </c>
      <c r="DL2" t="s">
        <v>74</v>
      </c>
      <c r="DM2" t="s">
        <v>93</v>
      </c>
      <c r="DN2" t="s">
        <v>74</v>
      </c>
      <c r="DO2" t="s">
        <v>74</v>
      </c>
      <c r="DP2" t="s">
        <v>44</v>
      </c>
      <c r="DQ2" t="s">
        <v>56</v>
      </c>
      <c r="DR2" t="s">
        <v>93</v>
      </c>
      <c r="DS2" t="s">
        <v>93</v>
      </c>
      <c r="DT2" t="s">
        <v>93</v>
      </c>
      <c r="DU2" t="s">
        <v>93</v>
      </c>
      <c r="DV2" t="s">
        <v>44</v>
      </c>
      <c r="DW2" t="s">
        <v>44</v>
      </c>
      <c r="DX2" t="s">
        <v>56</v>
      </c>
      <c r="DY2" t="s">
        <v>56</v>
      </c>
      <c r="DZ2" t="s">
        <v>44</v>
      </c>
      <c r="EA2" t="s">
        <v>93</v>
      </c>
      <c r="EB2" t="s">
        <v>56</v>
      </c>
      <c r="EC2" t="s">
        <v>74</v>
      </c>
      <c r="ED2" t="s">
        <v>56</v>
      </c>
      <c r="EE2" t="s">
        <v>56</v>
      </c>
      <c r="EF2" t="s">
        <v>74</v>
      </c>
      <c r="EG2" t="s">
        <v>56</v>
      </c>
      <c r="EH2" t="s">
        <v>93</v>
      </c>
      <c r="EI2" t="s">
        <v>74</v>
      </c>
      <c r="EJ2" t="s">
        <v>56</v>
      </c>
      <c r="EK2" t="s">
        <v>74</v>
      </c>
      <c r="EL2" t="s">
        <v>44</v>
      </c>
      <c r="EM2" t="s">
        <v>74</v>
      </c>
      <c r="EN2" t="s">
        <v>56</v>
      </c>
      <c r="EO2" t="s">
        <v>93</v>
      </c>
      <c r="EP2" t="s">
        <v>74</v>
      </c>
      <c r="EQ2" t="s">
        <v>93</v>
      </c>
      <c r="ER2" t="s">
        <v>93</v>
      </c>
      <c r="ES2" t="s">
        <v>93</v>
      </c>
      <c r="ET2" t="s">
        <v>74</v>
      </c>
      <c r="EU2" t="s">
        <v>44</v>
      </c>
      <c r="EV2" t="s">
        <v>74</v>
      </c>
      <c r="EW2" t="s">
        <v>56</v>
      </c>
      <c r="EX2" t="s">
        <v>93</v>
      </c>
      <c r="EY2" t="s">
        <v>93</v>
      </c>
      <c r="EZ2" t="s">
        <v>93</v>
      </c>
      <c r="FA2" t="s">
        <v>74</v>
      </c>
      <c r="FB2" t="s">
        <v>56</v>
      </c>
      <c r="FC2" t="s">
        <v>93</v>
      </c>
      <c r="FD2" t="s">
        <v>74</v>
      </c>
      <c r="FE2" t="s">
        <v>56</v>
      </c>
      <c r="FF2" t="s">
        <v>56</v>
      </c>
      <c r="FG2" t="s">
        <v>74</v>
      </c>
      <c r="FH2" t="s">
        <v>93</v>
      </c>
      <c r="FI2" t="s">
        <v>93</v>
      </c>
      <c r="FJ2" t="s">
        <v>93</v>
      </c>
      <c r="FK2" t="s">
        <v>93</v>
      </c>
      <c r="FL2" t="s">
        <v>93</v>
      </c>
      <c r="FM2" t="s">
        <v>56</v>
      </c>
      <c r="FN2" t="s">
        <v>44</v>
      </c>
      <c r="FO2" t="s">
        <v>74</v>
      </c>
      <c r="FP2" t="s">
        <v>93</v>
      </c>
      <c r="FQ2" t="s">
        <v>74</v>
      </c>
      <c r="FR2" t="s">
        <v>93</v>
      </c>
      <c r="FS2" t="s">
        <v>74</v>
      </c>
      <c r="FT2" t="s">
        <v>56</v>
      </c>
      <c r="FU2" t="s">
        <v>93</v>
      </c>
      <c r="FV2" t="s">
        <v>44</v>
      </c>
      <c r="FW2" t="s">
        <v>93</v>
      </c>
      <c r="FX2" t="s">
        <v>93</v>
      </c>
      <c r="FY2" t="s">
        <v>93</v>
      </c>
      <c r="FZ2" t="s">
        <v>93</v>
      </c>
      <c r="GA2" t="s">
        <v>74</v>
      </c>
      <c r="GB2" t="s">
        <v>44</v>
      </c>
      <c r="GC2" t="s">
        <v>56</v>
      </c>
      <c r="GD2" t="s">
        <v>44</v>
      </c>
      <c r="GE2" t="s">
        <v>93</v>
      </c>
      <c r="GF2" t="s">
        <v>74</v>
      </c>
      <c r="GG2" t="s">
        <v>93</v>
      </c>
      <c r="GH2" t="s">
        <v>56</v>
      </c>
      <c r="GI2" t="s">
        <v>93</v>
      </c>
      <c r="GJ2" t="s">
        <v>56</v>
      </c>
      <c r="GK2" t="s">
        <v>44</v>
      </c>
      <c r="GL2" t="s">
        <v>56</v>
      </c>
      <c r="GM2" t="s">
        <v>93</v>
      </c>
      <c r="GN2" t="s">
        <v>93</v>
      </c>
      <c r="GO2" t="s">
        <v>44</v>
      </c>
      <c r="GP2" t="s">
        <v>93</v>
      </c>
      <c r="GQ2" t="s">
        <v>74</v>
      </c>
      <c r="GR2" t="s">
        <v>74</v>
      </c>
      <c r="GS2" t="s">
        <v>56</v>
      </c>
      <c r="GT2" t="s">
        <v>74</v>
      </c>
      <c r="GU2" t="s">
        <v>44</v>
      </c>
      <c r="GV2" t="s">
        <v>56</v>
      </c>
      <c r="GW2" t="s">
        <v>93</v>
      </c>
      <c r="GX2" t="s">
        <v>74</v>
      </c>
      <c r="GY2" t="s">
        <v>56</v>
      </c>
      <c r="GZ2" t="s">
        <v>56</v>
      </c>
      <c r="HA2" t="s">
        <v>93</v>
      </c>
      <c r="HB2" t="s">
        <v>56</v>
      </c>
      <c r="HC2" t="s">
        <v>44</v>
      </c>
      <c r="HD2" t="s">
        <v>74</v>
      </c>
      <c r="HE2" t="s">
        <v>93</v>
      </c>
      <c r="HF2" t="s">
        <v>93</v>
      </c>
      <c r="HG2" t="s">
        <v>93</v>
      </c>
      <c r="HH2" t="s">
        <v>93</v>
      </c>
      <c r="HI2" t="s">
        <v>74</v>
      </c>
      <c r="HJ2" t="s">
        <v>74</v>
      </c>
      <c r="HK2"/>
      <c r="HL2" t="s">
        <v>74</v>
      </c>
      <c r="HM2" t="s">
        <v>93</v>
      </c>
      <c r="HN2" s="31" t="s">
        <v>56</v>
      </c>
      <c r="HO2" t="s">
        <v>44</v>
      </c>
      <c r="HP2" s="31" t="s">
        <v>74</v>
      </c>
      <c r="HQ2" t="s">
        <v>74</v>
      </c>
    </row>
    <row r="3" spans="1:225" x14ac:dyDescent="0.25">
      <c r="A3" t="s">
        <v>51</v>
      </c>
      <c r="B3" s="65" t="s">
        <v>56</v>
      </c>
      <c r="D3" s="3" t="s">
        <v>51</v>
      </c>
      <c r="E3" s="65" t="s">
        <v>56</v>
      </c>
    </row>
    <row r="4" spans="1:225" x14ac:dyDescent="0.25">
      <c r="A4" t="s">
        <v>62</v>
      </c>
      <c r="B4" s="65" t="s">
        <v>56</v>
      </c>
      <c r="D4" s="3" t="s">
        <v>62</v>
      </c>
      <c r="E4" s="65" t="s">
        <v>56</v>
      </c>
      <c r="H4" s="3" t="s">
        <v>36</v>
      </c>
      <c r="I4" s="3" t="s">
        <v>51</v>
      </c>
      <c r="J4" s="3" t="s">
        <v>62</v>
      </c>
      <c r="K4" s="3" t="s">
        <v>1115</v>
      </c>
      <c r="L4" s="3" t="s">
        <v>1116</v>
      </c>
      <c r="M4" s="3" t="s">
        <v>71</v>
      </c>
      <c r="N4" s="3" t="s">
        <v>91</v>
      </c>
      <c r="O4" s="3" t="s">
        <v>95</v>
      </c>
      <c r="P4" s="3" t="s">
        <v>102</v>
      </c>
      <c r="Q4" s="3" t="s">
        <v>1117</v>
      </c>
      <c r="R4" s="3" t="s">
        <v>1118</v>
      </c>
      <c r="S4" s="3" t="s">
        <v>1119</v>
      </c>
      <c r="T4" s="3" t="s">
        <v>110</v>
      </c>
      <c r="U4" s="3" t="s">
        <v>1120</v>
      </c>
      <c r="V4" s="3" t="s">
        <v>114</v>
      </c>
      <c r="W4" s="3" t="s">
        <v>119</v>
      </c>
      <c r="X4" s="3" t="s">
        <v>82</v>
      </c>
      <c r="Y4" s="3" t="s">
        <v>130</v>
      </c>
      <c r="Z4" s="3" t="s">
        <v>1121</v>
      </c>
      <c r="AA4" s="3" t="s">
        <v>137</v>
      </c>
      <c r="AB4" s="3" t="s">
        <v>144</v>
      </c>
      <c r="AC4" s="3" t="s">
        <v>1122</v>
      </c>
      <c r="AD4" s="3" t="s">
        <v>152</v>
      </c>
      <c r="AE4" s="3" t="s">
        <v>158</v>
      </c>
      <c r="AF4" s="3" t="s">
        <v>165</v>
      </c>
      <c r="AG4" s="3" t="s">
        <v>171</v>
      </c>
      <c r="AH4" s="3" t="s">
        <v>178</v>
      </c>
      <c r="AI4" s="3" t="s">
        <v>185</v>
      </c>
      <c r="AJ4" s="3" t="s">
        <v>1123</v>
      </c>
      <c r="AK4" s="3" t="s">
        <v>188</v>
      </c>
      <c r="AL4" s="3" t="s">
        <v>195</v>
      </c>
      <c r="AM4" s="3" t="s">
        <v>201</v>
      </c>
      <c r="AN4" s="3" t="s">
        <v>210</v>
      </c>
      <c r="AO4" s="3" t="s">
        <v>213</v>
      </c>
      <c r="AP4" s="3" t="s">
        <v>1179</v>
      </c>
      <c r="AQ4" s="3" t="s">
        <v>1124</v>
      </c>
      <c r="AR4" s="3" t="s">
        <v>1125</v>
      </c>
      <c r="AS4" s="3" t="s">
        <v>222</v>
      </c>
      <c r="AT4" s="3" t="s">
        <v>229</v>
      </c>
      <c r="AU4" s="3" t="s">
        <v>1126</v>
      </c>
      <c r="AV4" s="3" t="s">
        <v>236</v>
      </c>
      <c r="AW4" s="3" t="s">
        <v>242</v>
      </c>
      <c r="AX4" s="3" t="s">
        <v>248</v>
      </c>
      <c r="AY4" s="3" t="s">
        <v>255</v>
      </c>
      <c r="AZ4" s="3" t="s">
        <v>1180</v>
      </c>
      <c r="BA4" s="3" t="s">
        <v>1181</v>
      </c>
      <c r="BB4" s="3" t="s">
        <v>273</v>
      </c>
      <c r="BC4" s="3" t="s">
        <v>1182</v>
      </c>
      <c r="BD4" s="3" t="s">
        <v>283</v>
      </c>
      <c r="BE4" s="3" t="s">
        <v>287</v>
      </c>
      <c r="BF4" s="3" t="s">
        <v>1127</v>
      </c>
      <c r="BG4" s="3" t="s">
        <v>1128</v>
      </c>
      <c r="BH4" s="3" t="s">
        <v>1129</v>
      </c>
      <c r="BI4" s="3" t="s">
        <v>1130</v>
      </c>
      <c r="BJ4" s="3" t="s">
        <v>300</v>
      </c>
      <c r="BK4" s="3" t="s">
        <v>306</v>
      </c>
      <c r="BL4" s="3" t="s">
        <v>309</v>
      </c>
      <c r="BM4" s="3" t="s">
        <v>321</v>
      </c>
      <c r="BN4" s="3" t="s">
        <v>1183</v>
      </c>
      <c r="BO4" s="3" t="s">
        <v>333</v>
      </c>
      <c r="BP4" s="3" t="s">
        <v>339</v>
      </c>
      <c r="BQ4" s="3" t="s">
        <v>344</v>
      </c>
      <c r="BR4" s="3" t="s">
        <v>1131</v>
      </c>
      <c r="BS4" s="3" t="s">
        <v>350</v>
      </c>
      <c r="BT4" s="3" t="s">
        <v>355</v>
      </c>
      <c r="BU4" s="3" t="s">
        <v>1132</v>
      </c>
      <c r="BV4" s="3" t="s">
        <v>267</v>
      </c>
      <c r="BW4" s="3" t="s">
        <v>1133</v>
      </c>
      <c r="BX4" s="3" t="s">
        <v>1134</v>
      </c>
      <c r="BY4" s="3" t="s">
        <v>1135</v>
      </c>
      <c r="BZ4" s="3" t="s">
        <v>368</v>
      </c>
      <c r="CA4" s="3" t="s">
        <v>1184</v>
      </c>
      <c r="CB4" s="3" t="s">
        <v>378</v>
      </c>
      <c r="CC4" s="3" t="s">
        <v>1136</v>
      </c>
      <c r="CD4" s="3" t="s">
        <v>383</v>
      </c>
      <c r="CE4" s="3" t="s">
        <v>1137</v>
      </c>
      <c r="CF4" s="3" t="s">
        <v>389</v>
      </c>
      <c r="CG4" s="3" t="s">
        <v>1138</v>
      </c>
      <c r="CH4" s="3" t="s">
        <v>393</v>
      </c>
      <c r="CI4" s="3" t="s">
        <v>1139</v>
      </c>
      <c r="CJ4" s="3" t="s">
        <v>396</v>
      </c>
      <c r="CK4" s="3" t="s">
        <v>402</v>
      </c>
      <c r="CL4" s="3" t="s">
        <v>1185</v>
      </c>
      <c r="CM4" s="3" t="s">
        <v>413</v>
      </c>
      <c r="CN4" s="3" t="s">
        <v>419</v>
      </c>
      <c r="CO4" s="3" t="s">
        <v>425</v>
      </c>
      <c r="CP4" s="3" t="s">
        <v>1140</v>
      </c>
      <c r="CQ4" s="3" t="s">
        <v>1141</v>
      </c>
      <c r="CR4" s="3" t="s">
        <v>1142</v>
      </c>
      <c r="CS4" s="3" t="s">
        <v>431</v>
      </c>
      <c r="CT4" s="3" t="s">
        <v>437</v>
      </c>
      <c r="CU4" s="3" t="s">
        <v>1186</v>
      </c>
      <c r="CV4" s="3" t="s">
        <v>449</v>
      </c>
      <c r="CW4" s="3" t="s">
        <v>1143</v>
      </c>
      <c r="CX4" s="3" t="s">
        <v>1144</v>
      </c>
      <c r="CY4" s="3" t="s">
        <v>1145</v>
      </c>
      <c r="CZ4" s="3" t="s">
        <v>1146</v>
      </c>
      <c r="DA4" s="3" t="s">
        <v>455</v>
      </c>
      <c r="DB4" s="3" t="s">
        <v>1147</v>
      </c>
      <c r="DC4" s="3" t="s">
        <v>460</v>
      </c>
      <c r="DD4" s="3" t="s">
        <v>466</v>
      </c>
      <c r="DE4" s="3" t="s">
        <v>472</v>
      </c>
      <c r="DF4" s="3" t="s">
        <v>478</v>
      </c>
      <c r="DG4" s="3" t="s">
        <v>1187</v>
      </c>
      <c r="DH4" s="3" t="s">
        <v>1148</v>
      </c>
      <c r="DI4" s="3" t="s">
        <v>1188</v>
      </c>
      <c r="DJ4" s="3" t="s">
        <v>487</v>
      </c>
      <c r="DK4" s="3" t="s">
        <v>1189</v>
      </c>
      <c r="DL4" s="3" t="s">
        <v>1190</v>
      </c>
      <c r="DM4" s="3" t="s">
        <v>1149</v>
      </c>
      <c r="DN4" s="3" t="s">
        <v>496</v>
      </c>
      <c r="DO4" s="3" t="s">
        <v>502</v>
      </c>
      <c r="DP4" s="3" t="s">
        <v>508</v>
      </c>
      <c r="DQ4" s="3" t="s">
        <v>513</v>
      </c>
      <c r="DR4" s="3" t="s">
        <v>1150</v>
      </c>
      <c r="DS4" s="3" t="s">
        <v>1151</v>
      </c>
      <c r="DT4" s="3" t="s">
        <v>1152</v>
      </c>
      <c r="DU4" s="3" t="s">
        <v>1153</v>
      </c>
      <c r="DV4" s="3" t="s">
        <v>519</v>
      </c>
      <c r="DW4" s="3" t="s">
        <v>525</v>
      </c>
      <c r="DX4" s="3" t="s">
        <v>531</v>
      </c>
      <c r="DY4" s="3" t="s">
        <v>535</v>
      </c>
      <c r="DZ4" s="3" t="s">
        <v>540</v>
      </c>
      <c r="EA4" s="3" t="s">
        <v>1154</v>
      </c>
      <c r="EB4" s="3" t="s">
        <v>546</v>
      </c>
      <c r="EC4" s="3" t="s">
        <v>549</v>
      </c>
      <c r="ED4" s="3" t="s">
        <v>1155</v>
      </c>
      <c r="EE4" s="3" t="s">
        <v>555</v>
      </c>
      <c r="EF4" s="3" t="s">
        <v>1191</v>
      </c>
      <c r="EG4" s="3" t="s">
        <v>563</v>
      </c>
      <c r="EH4" s="3" t="s">
        <v>1156</v>
      </c>
      <c r="EI4" s="3" t="s">
        <v>569</v>
      </c>
      <c r="EJ4" s="3" t="s">
        <v>1192</v>
      </c>
      <c r="EK4" s="3" t="s">
        <v>577</v>
      </c>
      <c r="EL4" s="3" t="s">
        <v>1193</v>
      </c>
      <c r="EM4" s="3" t="s">
        <v>583</v>
      </c>
      <c r="EN4" s="3" t="s">
        <v>590</v>
      </c>
      <c r="EO4" s="3" t="s">
        <v>596</v>
      </c>
      <c r="EP4" s="3" t="s">
        <v>599</v>
      </c>
      <c r="EQ4" s="3" t="s">
        <v>1157</v>
      </c>
      <c r="ER4" s="3" t="s">
        <v>1158</v>
      </c>
      <c r="ES4" s="3" t="s">
        <v>1159</v>
      </c>
      <c r="ET4" s="3" t="s">
        <v>605</v>
      </c>
      <c r="EU4" s="3" t="s">
        <v>610</v>
      </c>
      <c r="EV4" s="3" t="s">
        <v>616</v>
      </c>
      <c r="EW4" s="3" t="s">
        <v>625</v>
      </c>
      <c r="EX4" s="3" t="s">
        <v>1160</v>
      </c>
      <c r="EY4" s="3" t="s">
        <v>1161</v>
      </c>
      <c r="EZ4" s="3" t="s">
        <v>629</v>
      </c>
      <c r="FA4" s="3" t="s">
        <v>633</v>
      </c>
      <c r="FB4" s="3" t="s">
        <v>639</v>
      </c>
      <c r="FC4" s="3" t="s">
        <v>648</v>
      </c>
      <c r="FD4" s="3" t="s">
        <v>654</v>
      </c>
      <c r="FE4" s="3" t="s">
        <v>660</v>
      </c>
      <c r="FF4" s="3" t="s">
        <v>665</v>
      </c>
      <c r="FG4" s="3" t="s">
        <v>671</v>
      </c>
      <c r="FH4" s="3" t="s">
        <v>676</v>
      </c>
      <c r="FI4" s="3" t="s">
        <v>1162</v>
      </c>
      <c r="FJ4" s="3" t="s">
        <v>1194</v>
      </c>
      <c r="FK4" s="3" t="s">
        <v>681</v>
      </c>
      <c r="FL4" s="3" t="s">
        <v>712</v>
      </c>
      <c r="FM4" s="3" t="s">
        <v>1164</v>
      </c>
      <c r="FN4" s="3" t="s">
        <v>718</v>
      </c>
      <c r="FO4" s="3" t="s">
        <v>724</v>
      </c>
      <c r="FP4" s="3" t="s">
        <v>1165</v>
      </c>
      <c r="FQ4" s="3" t="s">
        <v>1195</v>
      </c>
      <c r="FR4" s="3" t="s">
        <v>115</v>
      </c>
      <c r="FS4" s="3" t="s">
        <v>736</v>
      </c>
      <c r="FT4" s="3" t="s">
        <v>741</v>
      </c>
      <c r="FU4" s="3" t="s">
        <v>1166</v>
      </c>
      <c r="FV4" s="3" t="s">
        <v>746</v>
      </c>
      <c r="FW4" s="3" t="s">
        <v>1167</v>
      </c>
      <c r="FX4" s="3" t="s">
        <v>1168</v>
      </c>
      <c r="FY4" s="3" t="s">
        <v>1169</v>
      </c>
      <c r="FZ4" s="3" t="s">
        <v>1170</v>
      </c>
      <c r="GA4" s="3" t="s">
        <v>752</v>
      </c>
      <c r="GB4" s="64" t="s">
        <v>1196</v>
      </c>
      <c r="GC4" s="3" t="s">
        <v>761</v>
      </c>
      <c r="GD4" s="3" t="s">
        <v>766</v>
      </c>
      <c r="GE4" s="3" t="s">
        <v>1171</v>
      </c>
      <c r="GF4" s="3" t="s">
        <v>772</v>
      </c>
      <c r="GG4" s="3" t="s">
        <v>779</v>
      </c>
      <c r="GH4" s="3" t="s">
        <v>782</v>
      </c>
      <c r="GI4" s="3" t="s">
        <v>1172</v>
      </c>
      <c r="GJ4" s="3" t="s">
        <v>785</v>
      </c>
      <c r="GK4" s="3" t="s">
        <v>788</v>
      </c>
      <c r="GL4" s="3" t="s">
        <v>794</v>
      </c>
      <c r="GM4" s="3" t="s">
        <v>1173</v>
      </c>
      <c r="GN4" s="3" t="s">
        <v>1174</v>
      </c>
      <c r="GO4" s="3" t="s">
        <v>1197</v>
      </c>
      <c r="GP4" s="3" t="s">
        <v>1175</v>
      </c>
      <c r="GQ4" s="3" t="s">
        <v>803</v>
      </c>
      <c r="GR4" s="3" t="s">
        <v>1198</v>
      </c>
      <c r="GS4" s="3" t="s">
        <v>808</v>
      </c>
      <c r="GT4" s="3" t="s">
        <v>813</v>
      </c>
      <c r="GU4" s="3" t="s">
        <v>819</v>
      </c>
      <c r="GV4" s="3" t="s">
        <v>828</v>
      </c>
      <c r="GW4" s="3" t="s">
        <v>1199</v>
      </c>
      <c r="GX4" s="3" t="s">
        <v>834</v>
      </c>
      <c r="GY4" s="3" t="s">
        <v>839</v>
      </c>
      <c r="GZ4" s="3" t="s">
        <v>845</v>
      </c>
      <c r="HA4" s="3" t="s">
        <v>849</v>
      </c>
      <c r="HB4" s="3" t="s">
        <v>852</v>
      </c>
      <c r="HC4" s="3" t="s">
        <v>858</v>
      </c>
      <c r="HD4" s="3" t="s">
        <v>864</v>
      </c>
      <c r="HE4" s="3" t="s">
        <v>1200</v>
      </c>
      <c r="HF4" s="3" t="s">
        <v>1176</v>
      </c>
      <c r="HG4" s="3" t="s">
        <v>1177</v>
      </c>
      <c r="HH4" s="3" t="s">
        <v>874</v>
      </c>
      <c r="HI4" s="3" t="s">
        <v>1201</v>
      </c>
      <c r="HJ4" s="3" t="s">
        <v>878</v>
      </c>
      <c r="HK4" s="3" t="s">
        <v>1202</v>
      </c>
      <c r="HL4" s="3" t="s">
        <v>886</v>
      </c>
      <c r="HM4" s="3" t="s">
        <v>1178</v>
      </c>
      <c r="HN4" s="3" t="s">
        <v>1203</v>
      </c>
      <c r="HO4" s="3" t="s">
        <v>1204</v>
      </c>
      <c r="HP4" s="3" t="s">
        <v>898</v>
      </c>
      <c r="HQ4" s="3" t="s">
        <v>904</v>
      </c>
    </row>
    <row r="5" spans="1:225" x14ac:dyDescent="0.25">
      <c r="A5" t="s">
        <v>1115</v>
      </c>
      <c r="B5" s="65" t="s">
        <v>93</v>
      </c>
      <c r="D5" s="3" t="s">
        <v>1115</v>
      </c>
      <c r="E5" s="65" t="s">
        <v>93</v>
      </c>
      <c r="H5" s="65" t="s">
        <v>44</v>
      </c>
      <c r="I5" s="65" t="s">
        <v>56</v>
      </c>
      <c r="J5" s="65" t="s">
        <v>56</v>
      </c>
      <c r="K5" s="65" t="s">
        <v>93</v>
      </c>
      <c r="L5" s="65" t="s">
        <v>93</v>
      </c>
      <c r="M5" s="65" t="s">
        <v>74</v>
      </c>
      <c r="N5" s="65" t="s">
        <v>93</v>
      </c>
      <c r="O5" s="65" t="s">
        <v>56</v>
      </c>
      <c r="P5" s="65" t="s">
        <v>56</v>
      </c>
      <c r="Q5" s="65" t="s">
        <v>93</v>
      </c>
      <c r="R5" s="65" t="s">
        <v>93</v>
      </c>
      <c r="S5" s="65" t="s">
        <v>93</v>
      </c>
      <c r="T5" s="65" t="s">
        <v>56</v>
      </c>
      <c r="U5" s="65" t="s">
        <v>93</v>
      </c>
      <c r="V5" s="65" t="s">
        <v>93</v>
      </c>
      <c r="W5" s="65" t="s">
        <v>74</v>
      </c>
      <c r="X5" s="65" t="s">
        <v>93</v>
      </c>
      <c r="Y5" s="65" t="s">
        <v>56</v>
      </c>
      <c r="Z5" s="65" t="s">
        <v>93</v>
      </c>
      <c r="AA5" s="65" t="s">
        <v>56</v>
      </c>
      <c r="AB5" s="65" t="s">
        <v>74</v>
      </c>
      <c r="AC5" s="65" t="s">
        <v>93</v>
      </c>
      <c r="AD5" s="65" t="s">
        <v>74</v>
      </c>
      <c r="AE5" s="65" t="s">
        <v>74</v>
      </c>
      <c r="AF5" s="65" t="s">
        <v>56</v>
      </c>
      <c r="AG5" s="65" t="s">
        <v>56</v>
      </c>
      <c r="AH5" s="65" t="s">
        <v>56</v>
      </c>
      <c r="AI5" s="65" t="s">
        <v>93</v>
      </c>
      <c r="AJ5" s="65" t="s">
        <v>93</v>
      </c>
      <c r="AK5" s="65" t="s">
        <v>93</v>
      </c>
      <c r="AL5" s="65" t="s">
        <v>44</v>
      </c>
      <c r="AM5" s="65" t="s">
        <v>44</v>
      </c>
      <c r="AN5" s="66" t="s">
        <v>56</v>
      </c>
      <c r="AO5" s="65" t="s">
        <v>74</v>
      </c>
      <c r="AP5" s="65" t="s">
        <v>74</v>
      </c>
      <c r="AQ5" s="65" t="s">
        <v>93</v>
      </c>
      <c r="AR5" s="65" t="s">
        <v>93</v>
      </c>
      <c r="AS5" s="65" t="s">
        <v>44</v>
      </c>
      <c r="AT5" s="65" t="s">
        <v>44</v>
      </c>
      <c r="AU5" s="65" t="s">
        <v>93</v>
      </c>
      <c r="AV5" s="65" t="s">
        <v>93</v>
      </c>
      <c r="AW5" s="65" t="s">
        <v>56</v>
      </c>
      <c r="AX5" s="65" t="s">
        <v>56</v>
      </c>
      <c r="AY5" s="65" t="s">
        <v>74</v>
      </c>
      <c r="AZ5" s="65" t="s">
        <v>44</v>
      </c>
      <c r="BA5" s="65" t="s">
        <v>74</v>
      </c>
      <c r="BB5" s="66" t="s">
        <v>93</v>
      </c>
      <c r="BC5" s="65" t="s">
        <v>74</v>
      </c>
      <c r="BD5" s="65" t="s">
        <v>93</v>
      </c>
      <c r="BE5" s="65" t="s">
        <v>56</v>
      </c>
      <c r="BF5" s="65" t="s">
        <v>93</v>
      </c>
      <c r="BG5" s="65" t="s">
        <v>93</v>
      </c>
      <c r="BH5" s="65" t="s">
        <v>93</v>
      </c>
      <c r="BI5" s="65" t="s">
        <v>93</v>
      </c>
      <c r="BJ5" s="65" t="s">
        <v>74</v>
      </c>
      <c r="BK5" s="65" t="s">
        <v>56</v>
      </c>
      <c r="BL5" s="65" t="s">
        <v>56</v>
      </c>
      <c r="BM5" s="65" t="s">
        <v>56</v>
      </c>
      <c r="BN5" s="65" t="s">
        <v>74</v>
      </c>
      <c r="BO5" s="65" t="s">
        <v>56</v>
      </c>
      <c r="BP5" s="65" t="s">
        <v>56</v>
      </c>
      <c r="BQ5" s="65" t="s">
        <v>44</v>
      </c>
      <c r="BR5" s="65" t="s">
        <v>93</v>
      </c>
      <c r="BS5" s="65" t="s">
        <v>74</v>
      </c>
      <c r="BT5" s="66"/>
      <c r="BU5" s="65" t="s">
        <v>93</v>
      </c>
      <c r="BV5" s="65" t="s">
        <v>56</v>
      </c>
      <c r="BW5" s="65" t="s">
        <v>93</v>
      </c>
      <c r="BX5" s="65" t="s">
        <v>93</v>
      </c>
      <c r="BY5" s="65" t="s">
        <v>93</v>
      </c>
      <c r="BZ5" s="65" t="s">
        <v>56</v>
      </c>
      <c r="CA5" s="65" t="s">
        <v>44</v>
      </c>
      <c r="CB5" s="65" t="s">
        <v>56</v>
      </c>
      <c r="CC5" s="65" t="s">
        <v>93</v>
      </c>
      <c r="CD5" s="65" t="s">
        <v>74</v>
      </c>
      <c r="CE5" s="65" t="s">
        <v>93</v>
      </c>
      <c r="CF5" s="65" t="s">
        <v>93</v>
      </c>
      <c r="CG5" s="65" t="s">
        <v>93</v>
      </c>
      <c r="CH5" s="65" t="s">
        <v>56</v>
      </c>
      <c r="CI5" s="65" t="s">
        <v>93</v>
      </c>
      <c r="CJ5" s="65" t="s">
        <v>56</v>
      </c>
      <c r="CK5" s="65" t="s">
        <v>74</v>
      </c>
      <c r="CL5" s="65" t="s">
        <v>44</v>
      </c>
      <c r="CM5" s="65" t="s">
        <v>93</v>
      </c>
      <c r="CN5" s="65" t="s">
        <v>74</v>
      </c>
      <c r="CO5" s="65" t="s">
        <v>74</v>
      </c>
      <c r="CP5" s="65" t="s">
        <v>93</v>
      </c>
      <c r="CQ5" s="65" t="s">
        <v>93</v>
      </c>
      <c r="CR5" s="65" t="s">
        <v>93</v>
      </c>
      <c r="CS5" s="65" t="s">
        <v>74</v>
      </c>
      <c r="CT5" s="65" t="s">
        <v>56</v>
      </c>
      <c r="CU5" s="65" t="s">
        <v>56</v>
      </c>
      <c r="CV5" s="65" t="s">
        <v>56</v>
      </c>
      <c r="CW5" s="65" t="s">
        <v>93</v>
      </c>
      <c r="CX5" s="65" t="s">
        <v>93</v>
      </c>
      <c r="CY5" s="65" t="s">
        <v>93</v>
      </c>
      <c r="CZ5" s="65" t="s">
        <v>93</v>
      </c>
      <c r="DA5" s="65" t="s">
        <v>56</v>
      </c>
      <c r="DB5" s="65" t="s">
        <v>93</v>
      </c>
      <c r="DC5" s="65" t="s">
        <v>74</v>
      </c>
      <c r="DD5" s="65" t="s">
        <v>56</v>
      </c>
      <c r="DE5" s="65" t="s">
        <v>74</v>
      </c>
      <c r="DF5" s="65" t="s">
        <v>74</v>
      </c>
      <c r="DG5" s="65" t="s">
        <v>44</v>
      </c>
      <c r="DH5" s="65" t="s">
        <v>93</v>
      </c>
      <c r="DI5" s="65" t="s">
        <v>56</v>
      </c>
      <c r="DJ5" s="65" t="s">
        <v>93</v>
      </c>
      <c r="DK5" s="65" t="s">
        <v>74</v>
      </c>
      <c r="DL5" s="65" t="s">
        <v>74</v>
      </c>
      <c r="DM5" s="65" t="s">
        <v>93</v>
      </c>
      <c r="DN5" s="65" t="s">
        <v>74</v>
      </c>
      <c r="DO5" s="65" t="s">
        <v>74</v>
      </c>
      <c r="DP5" s="65" t="s">
        <v>44</v>
      </c>
      <c r="DQ5" s="65" t="s">
        <v>56</v>
      </c>
      <c r="DR5" s="65" t="s">
        <v>93</v>
      </c>
      <c r="DS5" s="65" t="s">
        <v>93</v>
      </c>
      <c r="DT5" s="65" t="s">
        <v>93</v>
      </c>
      <c r="DU5" s="65" t="s">
        <v>93</v>
      </c>
      <c r="DV5" s="65" t="s">
        <v>44</v>
      </c>
      <c r="DW5" s="65" t="s">
        <v>44</v>
      </c>
      <c r="DX5" s="65" t="s">
        <v>56</v>
      </c>
      <c r="DY5" s="65" t="s">
        <v>56</v>
      </c>
      <c r="DZ5" s="65" t="s">
        <v>44</v>
      </c>
      <c r="EA5" s="65" t="s">
        <v>93</v>
      </c>
      <c r="EB5" s="65" t="s">
        <v>56</v>
      </c>
      <c r="EC5" s="65" t="s">
        <v>74</v>
      </c>
      <c r="ED5" s="65" t="s">
        <v>56</v>
      </c>
      <c r="EE5" s="65" t="s">
        <v>56</v>
      </c>
      <c r="EF5" s="65" t="s">
        <v>74</v>
      </c>
      <c r="EG5" s="65" t="s">
        <v>56</v>
      </c>
      <c r="EH5" s="65" t="s">
        <v>93</v>
      </c>
      <c r="EI5" s="65" t="s">
        <v>56</v>
      </c>
      <c r="EJ5" s="65" t="s">
        <v>56</v>
      </c>
      <c r="EK5" s="65" t="s">
        <v>74</v>
      </c>
      <c r="EL5" s="65" t="s">
        <v>44</v>
      </c>
      <c r="EM5" s="65" t="s">
        <v>74</v>
      </c>
      <c r="EN5" s="66" t="s">
        <v>74</v>
      </c>
      <c r="EO5" s="65" t="s">
        <v>93</v>
      </c>
      <c r="EP5" s="65" t="s">
        <v>74</v>
      </c>
      <c r="EQ5" s="65" t="s">
        <v>93</v>
      </c>
      <c r="ER5" s="65" t="s">
        <v>93</v>
      </c>
      <c r="ES5" s="65" t="s">
        <v>93</v>
      </c>
      <c r="ET5" s="65" t="s">
        <v>74</v>
      </c>
      <c r="EU5" s="65" t="s">
        <v>44</v>
      </c>
      <c r="EV5" s="65" t="s">
        <v>74</v>
      </c>
      <c r="EW5" s="65" t="s">
        <v>56</v>
      </c>
      <c r="EX5" s="65" t="s">
        <v>93</v>
      </c>
      <c r="EY5" s="65" t="s">
        <v>93</v>
      </c>
      <c r="EZ5" s="65" t="s">
        <v>93</v>
      </c>
      <c r="FA5" s="65" t="s">
        <v>74</v>
      </c>
      <c r="FB5" s="65" t="s">
        <v>93</v>
      </c>
      <c r="FC5" s="65" t="s">
        <v>93</v>
      </c>
      <c r="FD5" s="65" t="s">
        <v>74</v>
      </c>
      <c r="FE5" s="65" t="s">
        <v>56</v>
      </c>
      <c r="FF5" s="65" t="s">
        <v>56</v>
      </c>
      <c r="FG5" s="65" t="s">
        <v>74</v>
      </c>
      <c r="FH5" s="65" t="s">
        <v>93</v>
      </c>
      <c r="FI5" s="65" t="s">
        <v>93</v>
      </c>
      <c r="FJ5" s="65" t="s">
        <v>93</v>
      </c>
      <c r="FK5" s="65" t="s">
        <v>93</v>
      </c>
      <c r="FL5" s="65" t="s">
        <v>93</v>
      </c>
      <c r="FM5" s="65" t="s">
        <v>93</v>
      </c>
      <c r="FN5" s="65" t="s">
        <v>44</v>
      </c>
      <c r="FO5" s="66" t="s">
        <v>56</v>
      </c>
      <c r="FP5" s="65" t="s">
        <v>93</v>
      </c>
      <c r="FQ5" s="65" t="s">
        <v>74</v>
      </c>
      <c r="FR5" s="65" t="s">
        <v>93</v>
      </c>
      <c r="FS5" s="65" t="s">
        <v>74</v>
      </c>
      <c r="FT5" s="65" t="s">
        <v>56</v>
      </c>
      <c r="FU5" s="65" t="s">
        <v>93</v>
      </c>
      <c r="FV5" s="65" t="s">
        <v>44</v>
      </c>
      <c r="FW5" s="65" t="s">
        <v>93</v>
      </c>
      <c r="FX5" s="65" t="s">
        <v>93</v>
      </c>
      <c r="FY5" s="65" t="s">
        <v>93</v>
      </c>
      <c r="FZ5" s="65" t="s">
        <v>93</v>
      </c>
      <c r="GA5" s="65" t="s">
        <v>74</v>
      </c>
      <c r="GB5" s="65" t="s">
        <v>44</v>
      </c>
      <c r="GC5" s="65" t="s">
        <v>56</v>
      </c>
      <c r="GD5" s="65" t="s">
        <v>44</v>
      </c>
      <c r="GE5" s="65" t="s">
        <v>93</v>
      </c>
      <c r="GF5" s="65" t="s">
        <v>74</v>
      </c>
      <c r="GG5" s="65" t="s">
        <v>93</v>
      </c>
      <c r="GH5" s="65" t="s">
        <v>56</v>
      </c>
      <c r="GI5" s="65" t="s">
        <v>93</v>
      </c>
      <c r="GJ5" s="65" t="s">
        <v>56</v>
      </c>
      <c r="GK5" s="65" t="s">
        <v>44</v>
      </c>
      <c r="GL5" s="65" t="s">
        <v>56</v>
      </c>
      <c r="GM5" s="65" t="s">
        <v>93</v>
      </c>
      <c r="GN5" s="65" t="s">
        <v>93</v>
      </c>
      <c r="GO5" s="65" t="s">
        <v>44</v>
      </c>
      <c r="GP5" s="65" t="s">
        <v>93</v>
      </c>
      <c r="GQ5" s="65" t="s">
        <v>74</v>
      </c>
      <c r="GR5" s="65" t="s">
        <v>74</v>
      </c>
      <c r="GS5" s="65" t="s">
        <v>56</v>
      </c>
      <c r="GT5" s="65" t="s">
        <v>74</v>
      </c>
      <c r="GU5" s="65" t="s">
        <v>44</v>
      </c>
      <c r="GV5" s="65" t="s">
        <v>56</v>
      </c>
      <c r="GW5" s="65" t="s">
        <v>93</v>
      </c>
      <c r="GX5" s="65" t="s">
        <v>74</v>
      </c>
      <c r="GY5" s="65" t="s">
        <v>56</v>
      </c>
      <c r="GZ5" s="65" t="s">
        <v>56</v>
      </c>
      <c r="HA5" s="65" t="s">
        <v>93</v>
      </c>
      <c r="HB5" s="65" t="s">
        <v>56</v>
      </c>
      <c r="HC5" s="65" t="s">
        <v>44</v>
      </c>
      <c r="HD5" s="65" t="s">
        <v>56</v>
      </c>
      <c r="HE5" s="65" t="s">
        <v>93</v>
      </c>
      <c r="HF5" s="65" t="s">
        <v>93</v>
      </c>
      <c r="HG5" s="65" t="s">
        <v>93</v>
      </c>
      <c r="HH5" s="65" t="s">
        <v>93</v>
      </c>
      <c r="HI5" s="65" t="s">
        <v>74</v>
      </c>
      <c r="HJ5" s="65" t="s">
        <v>74</v>
      </c>
      <c r="HL5" s="65" t="s">
        <v>74</v>
      </c>
      <c r="HM5" s="65" t="s">
        <v>93</v>
      </c>
      <c r="HN5" s="65" t="s">
        <v>74</v>
      </c>
      <c r="HO5" s="65" t="s">
        <v>44</v>
      </c>
      <c r="HP5" s="65" t="s">
        <v>74</v>
      </c>
      <c r="HQ5" s="65" t="s">
        <v>74</v>
      </c>
    </row>
    <row r="6" spans="1:225" x14ac:dyDescent="0.25">
      <c r="A6" t="s">
        <v>1116</v>
      </c>
      <c r="B6" s="65" t="s">
        <v>93</v>
      </c>
      <c r="D6" s="3" t="s">
        <v>1116</v>
      </c>
      <c r="E6" s="65" t="s">
        <v>93</v>
      </c>
    </row>
    <row r="7" spans="1:225" x14ac:dyDescent="0.25">
      <c r="A7" t="s">
        <v>71</v>
      </c>
      <c r="B7" s="65" t="s">
        <v>74</v>
      </c>
      <c r="D7" s="3" t="s">
        <v>71</v>
      </c>
      <c r="E7" s="65" t="s">
        <v>74</v>
      </c>
    </row>
    <row r="8" spans="1:225" x14ac:dyDescent="0.25">
      <c r="A8" t="s">
        <v>91</v>
      </c>
      <c r="B8" s="65" t="s">
        <v>93</v>
      </c>
      <c r="D8" s="3" t="s">
        <v>91</v>
      </c>
      <c r="E8" s="65" t="s">
        <v>93</v>
      </c>
    </row>
    <row r="9" spans="1:225" x14ac:dyDescent="0.25">
      <c r="A9" t="s">
        <v>95</v>
      </c>
      <c r="B9" s="65" t="s">
        <v>56</v>
      </c>
      <c r="D9" s="3" t="s">
        <v>95</v>
      </c>
      <c r="E9" s="65" t="s">
        <v>56</v>
      </c>
    </row>
    <row r="10" spans="1:225" x14ac:dyDescent="0.25">
      <c r="A10" t="s">
        <v>102</v>
      </c>
      <c r="B10" s="65" t="s">
        <v>56</v>
      </c>
      <c r="D10" s="3" t="s">
        <v>102</v>
      </c>
      <c r="E10" s="65" t="s">
        <v>56</v>
      </c>
    </row>
    <row r="11" spans="1:225" x14ac:dyDescent="0.25">
      <c r="A11" t="s">
        <v>1117</v>
      </c>
      <c r="B11" s="65" t="s">
        <v>93</v>
      </c>
      <c r="D11" s="3" t="s">
        <v>1117</v>
      </c>
      <c r="E11" s="65" t="s">
        <v>93</v>
      </c>
    </row>
    <row r="12" spans="1:225" x14ac:dyDescent="0.25">
      <c r="A12" t="s">
        <v>1118</v>
      </c>
      <c r="B12" s="65" t="s">
        <v>93</v>
      </c>
      <c r="D12" s="3" t="s">
        <v>1118</v>
      </c>
      <c r="E12" s="65" t="s">
        <v>93</v>
      </c>
    </row>
    <row r="13" spans="1:225" x14ac:dyDescent="0.25">
      <c r="A13" t="s">
        <v>1119</v>
      </c>
      <c r="B13" s="65" t="s">
        <v>93</v>
      </c>
      <c r="D13" s="3" t="s">
        <v>1119</v>
      </c>
      <c r="E13" s="65" t="s">
        <v>93</v>
      </c>
    </row>
    <row r="14" spans="1:225" x14ac:dyDescent="0.25">
      <c r="A14" t="s">
        <v>110</v>
      </c>
      <c r="B14" s="65" t="s">
        <v>56</v>
      </c>
      <c r="D14" s="3" t="s">
        <v>110</v>
      </c>
      <c r="E14" s="65" t="s">
        <v>56</v>
      </c>
    </row>
    <row r="15" spans="1:225" x14ac:dyDescent="0.25">
      <c r="A15" t="s">
        <v>1120</v>
      </c>
      <c r="B15" s="65" t="s">
        <v>93</v>
      </c>
      <c r="D15" s="3" t="s">
        <v>1120</v>
      </c>
      <c r="E15" s="65" t="s">
        <v>93</v>
      </c>
    </row>
    <row r="16" spans="1:225" x14ac:dyDescent="0.25">
      <c r="A16" t="s">
        <v>114</v>
      </c>
      <c r="B16" s="65" t="s">
        <v>93</v>
      </c>
      <c r="D16" s="3" t="s">
        <v>114</v>
      </c>
      <c r="E16" s="65" t="s">
        <v>93</v>
      </c>
    </row>
    <row r="17" spans="1:5" x14ac:dyDescent="0.25">
      <c r="A17" t="s">
        <v>119</v>
      </c>
      <c r="B17" s="65" t="s">
        <v>74</v>
      </c>
      <c r="D17" s="3" t="s">
        <v>119</v>
      </c>
      <c r="E17" s="65" t="s">
        <v>74</v>
      </c>
    </row>
    <row r="18" spans="1:5" x14ac:dyDescent="0.25">
      <c r="A18" t="s">
        <v>82</v>
      </c>
      <c r="B18" s="65" t="s">
        <v>93</v>
      </c>
      <c r="D18" s="3" t="s">
        <v>82</v>
      </c>
      <c r="E18" s="65" t="s">
        <v>93</v>
      </c>
    </row>
    <row r="19" spans="1:5" x14ac:dyDescent="0.25">
      <c r="A19" t="s">
        <v>130</v>
      </c>
      <c r="B19" s="65" t="s">
        <v>56</v>
      </c>
      <c r="D19" s="3" t="s">
        <v>130</v>
      </c>
      <c r="E19" s="65" t="s">
        <v>56</v>
      </c>
    </row>
    <row r="20" spans="1:5" x14ac:dyDescent="0.25">
      <c r="A20" t="s">
        <v>1121</v>
      </c>
      <c r="B20" s="65" t="s">
        <v>93</v>
      </c>
      <c r="D20" s="3" t="s">
        <v>1121</v>
      </c>
      <c r="E20" s="65" t="s">
        <v>93</v>
      </c>
    </row>
    <row r="21" spans="1:5" x14ac:dyDescent="0.25">
      <c r="A21" t="s">
        <v>137</v>
      </c>
      <c r="B21" s="65" t="s">
        <v>56</v>
      </c>
      <c r="D21" s="3" t="s">
        <v>137</v>
      </c>
      <c r="E21" s="65" t="s">
        <v>56</v>
      </c>
    </row>
    <row r="22" spans="1:5" x14ac:dyDescent="0.25">
      <c r="A22" t="s">
        <v>144</v>
      </c>
      <c r="B22" s="65" t="s">
        <v>74</v>
      </c>
      <c r="D22" s="3" t="s">
        <v>144</v>
      </c>
      <c r="E22" s="65" t="s">
        <v>74</v>
      </c>
    </row>
    <row r="23" spans="1:5" x14ac:dyDescent="0.25">
      <c r="A23" t="s">
        <v>1122</v>
      </c>
      <c r="B23" s="65" t="s">
        <v>93</v>
      </c>
      <c r="D23" s="3" t="s">
        <v>1122</v>
      </c>
      <c r="E23" s="65" t="s">
        <v>93</v>
      </c>
    </row>
    <row r="24" spans="1:5" x14ac:dyDescent="0.25">
      <c r="A24" t="s">
        <v>152</v>
      </c>
      <c r="B24" s="65" t="s">
        <v>74</v>
      </c>
      <c r="D24" s="3" t="s">
        <v>152</v>
      </c>
      <c r="E24" s="65" t="s">
        <v>74</v>
      </c>
    </row>
    <row r="25" spans="1:5" x14ac:dyDescent="0.25">
      <c r="A25" t="s">
        <v>158</v>
      </c>
      <c r="B25" s="65" t="s">
        <v>74</v>
      </c>
      <c r="D25" s="3" t="s">
        <v>158</v>
      </c>
      <c r="E25" s="65" t="s">
        <v>74</v>
      </c>
    </row>
    <row r="26" spans="1:5" x14ac:dyDescent="0.25">
      <c r="A26" t="s">
        <v>165</v>
      </c>
      <c r="B26" s="65" t="s">
        <v>56</v>
      </c>
      <c r="D26" s="3" t="s">
        <v>165</v>
      </c>
      <c r="E26" s="65" t="s">
        <v>56</v>
      </c>
    </row>
    <row r="27" spans="1:5" x14ac:dyDescent="0.25">
      <c r="A27" t="s">
        <v>171</v>
      </c>
      <c r="B27" s="65" t="s">
        <v>56</v>
      </c>
      <c r="D27" s="3" t="s">
        <v>171</v>
      </c>
      <c r="E27" s="65" t="s">
        <v>56</v>
      </c>
    </row>
    <row r="28" spans="1:5" x14ac:dyDescent="0.25">
      <c r="A28" t="s">
        <v>178</v>
      </c>
      <c r="B28" s="65" t="s">
        <v>56</v>
      </c>
      <c r="D28" s="3" t="s">
        <v>178</v>
      </c>
      <c r="E28" s="65" t="s">
        <v>56</v>
      </c>
    </row>
    <row r="29" spans="1:5" x14ac:dyDescent="0.25">
      <c r="A29" t="s">
        <v>185</v>
      </c>
      <c r="B29" s="65" t="s">
        <v>93</v>
      </c>
      <c r="D29" s="3" t="s">
        <v>185</v>
      </c>
      <c r="E29" s="65" t="s">
        <v>93</v>
      </c>
    </row>
    <row r="30" spans="1:5" x14ac:dyDescent="0.25">
      <c r="A30" t="s">
        <v>1123</v>
      </c>
      <c r="B30" s="65" t="s">
        <v>93</v>
      </c>
      <c r="D30" s="3" t="s">
        <v>1123</v>
      </c>
      <c r="E30" s="65" t="s">
        <v>93</v>
      </c>
    </row>
    <row r="31" spans="1:5" x14ac:dyDescent="0.25">
      <c r="A31" t="s">
        <v>188</v>
      </c>
      <c r="B31" s="65" t="s">
        <v>93</v>
      </c>
      <c r="D31" s="3" t="s">
        <v>188</v>
      </c>
      <c r="E31" s="65" t="s">
        <v>93</v>
      </c>
    </row>
    <row r="32" spans="1:5" x14ac:dyDescent="0.25">
      <c r="A32" t="s">
        <v>195</v>
      </c>
      <c r="B32" s="65" t="s">
        <v>44</v>
      </c>
      <c r="D32" s="3" t="s">
        <v>195</v>
      </c>
      <c r="E32" s="65" t="s">
        <v>44</v>
      </c>
    </row>
    <row r="33" spans="1:5" x14ac:dyDescent="0.25">
      <c r="A33" t="s">
        <v>201</v>
      </c>
      <c r="B33" s="65" t="s">
        <v>44</v>
      </c>
      <c r="D33" s="3" t="s">
        <v>201</v>
      </c>
      <c r="E33" s="65" t="s">
        <v>44</v>
      </c>
    </row>
    <row r="34" spans="1:5" x14ac:dyDescent="0.25">
      <c r="A34" t="s">
        <v>210</v>
      </c>
      <c r="B34" s="66" t="s">
        <v>56</v>
      </c>
      <c r="D34" s="3" t="s">
        <v>210</v>
      </c>
      <c r="E34" s="66" t="s">
        <v>56</v>
      </c>
    </row>
    <row r="35" spans="1:5" x14ac:dyDescent="0.25">
      <c r="A35" t="s">
        <v>213</v>
      </c>
      <c r="B35" s="65" t="s">
        <v>74</v>
      </c>
      <c r="D35" s="3" t="s">
        <v>213</v>
      </c>
      <c r="E35" s="65" t="s">
        <v>74</v>
      </c>
    </row>
    <row r="36" spans="1:5" x14ac:dyDescent="0.25">
      <c r="A36" s="12" t="s">
        <v>690</v>
      </c>
      <c r="B36" s="65" t="s">
        <v>74</v>
      </c>
      <c r="D36" s="3" t="s">
        <v>1179</v>
      </c>
      <c r="E36" s="65" t="s">
        <v>74</v>
      </c>
    </row>
    <row r="37" spans="1:5" x14ac:dyDescent="0.25">
      <c r="A37" t="s">
        <v>1124</v>
      </c>
      <c r="B37" s="65" t="s">
        <v>93</v>
      </c>
      <c r="D37" s="3" t="s">
        <v>1124</v>
      </c>
      <c r="E37" s="65" t="s">
        <v>93</v>
      </c>
    </row>
    <row r="38" spans="1:5" x14ac:dyDescent="0.25">
      <c r="A38" t="s">
        <v>1125</v>
      </c>
      <c r="B38" s="65" t="s">
        <v>93</v>
      </c>
      <c r="D38" s="3" t="s">
        <v>1125</v>
      </c>
      <c r="E38" s="65" t="s">
        <v>93</v>
      </c>
    </row>
    <row r="39" spans="1:5" x14ac:dyDescent="0.25">
      <c r="A39" s="32" t="s">
        <v>222</v>
      </c>
      <c r="B39" s="65" t="s">
        <v>44</v>
      </c>
      <c r="D39" s="3" t="s">
        <v>222</v>
      </c>
      <c r="E39" s="65" t="s">
        <v>44</v>
      </c>
    </row>
    <row r="40" spans="1:5" x14ac:dyDescent="0.25">
      <c r="A40" t="s">
        <v>229</v>
      </c>
      <c r="B40" s="65" t="s">
        <v>44</v>
      </c>
      <c r="D40" s="3" t="s">
        <v>229</v>
      </c>
      <c r="E40" s="65" t="s">
        <v>44</v>
      </c>
    </row>
    <row r="41" spans="1:5" x14ac:dyDescent="0.25">
      <c r="A41" s="32" t="s">
        <v>1126</v>
      </c>
      <c r="B41" s="65" t="s">
        <v>93</v>
      </c>
      <c r="D41" s="3" t="s">
        <v>1126</v>
      </c>
      <c r="E41" s="65" t="s">
        <v>93</v>
      </c>
    </row>
    <row r="42" spans="1:5" x14ac:dyDescent="0.25">
      <c r="A42" s="32" t="s">
        <v>236</v>
      </c>
      <c r="B42" s="65" t="s">
        <v>93</v>
      </c>
      <c r="D42" s="3" t="s">
        <v>236</v>
      </c>
      <c r="E42" s="65" t="s">
        <v>93</v>
      </c>
    </row>
    <row r="43" spans="1:5" x14ac:dyDescent="0.25">
      <c r="A43" t="s">
        <v>242</v>
      </c>
      <c r="B43" s="65" t="s">
        <v>56</v>
      </c>
      <c r="D43" s="3" t="s">
        <v>242</v>
      </c>
      <c r="E43" s="65" t="s">
        <v>56</v>
      </c>
    </row>
    <row r="44" spans="1:5" x14ac:dyDescent="0.25">
      <c r="A44" t="s">
        <v>248</v>
      </c>
      <c r="B44" s="65" t="s">
        <v>56</v>
      </c>
      <c r="D44" s="3" t="s">
        <v>248</v>
      </c>
      <c r="E44" s="65" t="s">
        <v>56</v>
      </c>
    </row>
    <row r="45" spans="1:5" x14ac:dyDescent="0.25">
      <c r="A45" t="s">
        <v>255</v>
      </c>
      <c r="B45" s="65" t="s">
        <v>74</v>
      </c>
      <c r="D45" s="3" t="s">
        <v>255</v>
      </c>
      <c r="E45" s="65" t="s">
        <v>74</v>
      </c>
    </row>
    <row r="46" spans="1:5" x14ac:dyDescent="0.25">
      <c r="A46" s="5" t="s">
        <v>260</v>
      </c>
      <c r="B46" s="65" t="s">
        <v>74</v>
      </c>
      <c r="D46" s="3" t="s">
        <v>1181</v>
      </c>
      <c r="E46" s="65" t="s">
        <v>74</v>
      </c>
    </row>
    <row r="47" spans="1:5" x14ac:dyDescent="0.25">
      <c r="A47" t="s">
        <v>273</v>
      </c>
      <c r="B47" s="66" t="s">
        <v>93</v>
      </c>
      <c r="D47" s="3" t="s">
        <v>273</v>
      </c>
      <c r="E47" s="66" t="s">
        <v>93</v>
      </c>
    </row>
    <row r="48" spans="1:5" x14ac:dyDescent="0.25">
      <c r="A48" s="5" t="s">
        <v>277</v>
      </c>
      <c r="B48" s="65" t="s">
        <v>74</v>
      </c>
      <c r="D48" s="3" t="s">
        <v>1182</v>
      </c>
      <c r="E48" s="65" t="s">
        <v>74</v>
      </c>
    </row>
    <row r="49" spans="1:5" x14ac:dyDescent="0.25">
      <c r="A49" t="s">
        <v>283</v>
      </c>
      <c r="B49" s="65" t="s">
        <v>93</v>
      </c>
      <c r="D49" s="3" t="s">
        <v>283</v>
      </c>
      <c r="E49" s="65" t="s">
        <v>93</v>
      </c>
    </row>
    <row r="50" spans="1:5" x14ac:dyDescent="0.25">
      <c r="A50" t="s">
        <v>287</v>
      </c>
      <c r="B50" s="65" t="s">
        <v>56</v>
      </c>
      <c r="D50" s="3" t="s">
        <v>287</v>
      </c>
      <c r="E50" s="65" t="s">
        <v>56</v>
      </c>
    </row>
    <row r="51" spans="1:5" x14ac:dyDescent="0.25">
      <c r="A51" t="s">
        <v>1127</v>
      </c>
      <c r="B51" s="65" t="s">
        <v>93</v>
      </c>
      <c r="D51" s="3" t="s">
        <v>1127</v>
      </c>
      <c r="E51" s="65" t="s">
        <v>93</v>
      </c>
    </row>
    <row r="52" spans="1:5" x14ac:dyDescent="0.25">
      <c r="A52" t="s">
        <v>1128</v>
      </c>
      <c r="B52" s="65" t="s">
        <v>93</v>
      </c>
      <c r="D52" s="3" t="s">
        <v>1128</v>
      </c>
      <c r="E52" s="65" t="s">
        <v>93</v>
      </c>
    </row>
    <row r="53" spans="1:5" x14ac:dyDescent="0.25">
      <c r="A53" t="s">
        <v>1129</v>
      </c>
      <c r="B53" s="65" t="s">
        <v>93</v>
      </c>
      <c r="D53" s="3" t="s">
        <v>1129</v>
      </c>
      <c r="E53" s="65" t="s">
        <v>93</v>
      </c>
    </row>
    <row r="54" spans="1:5" x14ac:dyDescent="0.25">
      <c r="A54" s="7" t="s">
        <v>293</v>
      </c>
      <c r="B54" s="65" t="s">
        <v>44</v>
      </c>
      <c r="D54" s="3" t="s">
        <v>1180</v>
      </c>
      <c r="E54" s="65" t="s">
        <v>44</v>
      </c>
    </row>
    <row r="55" spans="1:5" x14ac:dyDescent="0.25">
      <c r="A55" t="s">
        <v>1130</v>
      </c>
      <c r="B55" s="65" t="s">
        <v>93</v>
      </c>
      <c r="D55" s="3" t="s">
        <v>1130</v>
      </c>
      <c r="E55" s="65" t="s">
        <v>93</v>
      </c>
    </row>
    <row r="56" spans="1:5" x14ac:dyDescent="0.25">
      <c r="A56" t="s">
        <v>300</v>
      </c>
      <c r="B56" s="65" t="s">
        <v>74</v>
      </c>
      <c r="D56" s="3" t="s">
        <v>300</v>
      </c>
      <c r="E56" s="65" t="s">
        <v>74</v>
      </c>
    </row>
    <row r="57" spans="1:5" x14ac:dyDescent="0.25">
      <c r="A57" t="s">
        <v>306</v>
      </c>
      <c r="B57" s="65" t="s">
        <v>56</v>
      </c>
      <c r="D57" s="3" t="s">
        <v>306</v>
      </c>
      <c r="E57" s="65" t="s">
        <v>56</v>
      </c>
    </row>
    <row r="58" spans="1:5" x14ac:dyDescent="0.25">
      <c r="A58" t="s">
        <v>309</v>
      </c>
      <c r="B58" s="65" t="s">
        <v>56</v>
      </c>
      <c r="D58" s="3" t="s">
        <v>309</v>
      </c>
      <c r="E58" s="65" t="s">
        <v>56</v>
      </c>
    </row>
    <row r="59" spans="1:5" x14ac:dyDescent="0.25">
      <c r="A59" s="12" t="s">
        <v>315</v>
      </c>
      <c r="B59" s="65" t="s">
        <v>44</v>
      </c>
      <c r="D59" s="3" t="s">
        <v>1187</v>
      </c>
      <c r="E59" s="65" t="s">
        <v>44</v>
      </c>
    </row>
    <row r="60" spans="1:5" x14ac:dyDescent="0.25">
      <c r="A60" t="s">
        <v>321</v>
      </c>
      <c r="B60" s="65" t="s">
        <v>56</v>
      </c>
      <c r="D60" s="3" t="s">
        <v>321</v>
      </c>
      <c r="E60" s="65" t="s">
        <v>56</v>
      </c>
    </row>
    <row r="61" spans="1:5" x14ac:dyDescent="0.25">
      <c r="A61" s="5" t="s">
        <v>327</v>
      </c>
      <c r="B61" s="65" t="s">
        <v>74</v>
      </c>
      <c r="D61" s="3" t="s">
        <v>1183</v>
      </c>
      <c r="E61" s="65" t="s">
        <v>74</v>
      </c>
    </row>
    <row r="62" spans="1:5" x14ac:dyDescent="0.25">
      <c r="A62" t="s">
        <v>333</v>
      </c>
      <c r="B62" s="65" t="s">
        <v>56</v>
      </c>
      <c r="D62" s="3" t="s">
        <v>333</v>
      </c>
      <c r="E62" s="65" t="s">
        <v>56</v>
      </c>
    </row>
    <row r="63" spans="1:5" x14ac:dyDescent="0.25">
      <c r="A63" t="s">
        <v>339</v>
      </c>
      <c r="B63" s="65" t="s">
        <v>56</v>
      </c>
      <c r="D63" s="3" t="s">
        <v>339</v>
      </c>
      <c r="E63" s="65" t="s">
        <v>56</v>
      </c>
    </row>
    <row r="64" spans="1:5" x14ac:dyDescent="0.25">
      <c r="A64" t="s">
        <v>344</v>
      </c>
      <c r="B64" s="65" t="s">
        <v>44</v>
      </c>
      <c r="D64" s="3" t="s">
        <v>344</v>
      </c>
      <c r="E64" s="65" t="s">
        <v>44</v>
      </c>
    </row>
    <row r="65" spans="1:5" x14ac:dyDescent="0.25">
      <c r="A65" t="s">
        <v>1131</v>
      </c>
      <c r="B65" s="65" t="s">
        <v>93</v>
      </c>
      <c r="D65" s="3" t="s">
        <v>1131</v>
      </c>
      <c r="E65" s="65" t="s">
        <v>93</v>
      </c>
    </row>
    <row r="66" spans="1:5" x14ac:dyDescent="0.25">
      <c r="A66" t="s">
        <v>350</v>
      </c>
      <c r="B66" s="65" t="s">
        <v>74</v>
      </c>
      <c r="D66" s="3" t="s">
        <v>350</v>
      </c>
      <c r="E66" s="65" t="s">
        <v>74</v>
      </c>
    </row>
    <row r="67" spans="1:5" x14ac:dyDescent="0.25">
      <c r="A67" t="s">
        <v>355</v>
      </c>
      <c r="B67" s="66"/>
      <c r="D67" s="3" t="s">
        <v>355</v>
      </c>
      <c r="E67" s="66"/>
    </row>
    <row r="68" spans="1:5" x14ac:dyDescent="0.25">
      <c r="A68" t="s">
        <v>1132</v>
      </c>
      <c r="B68" s="65" t="s">
        <v>93</v>
      </c>
      <c r="D68" s="3" t="s">
        <v>1132</v>
      </c>
      <c r="E68" s="65" t="s">
        <v>93</v>
      </c>
    </row>
    <row r="69" spans="1:5" x14ac:dyDescent="0.25">
      <c r="A69" t="s">
        <v>267</v>
      </c>
      <c r="B69" s="65" t="s">
        <v>56</v>
      </c>
      <c r="D69" s="3" t="s">
        <v>267</v>
      </c>
      <c r="E69" s="65" t="s">
        <v>56</v>
      </c>
    </row>
    <row r="70" spans="1:5" x14ac:dyDescent="0.25">
      <c r="A70" t="s">
        <v>1133</v>
      </c>
      <c r="B70" s="65" t="s">
        <v>93</v>
      </c>
      <c r="D70" s="3" t="s">
        <v>1133</v>
      </c>
      <c r="E70" s="65" t="s">
        <v>93</v>
      </c>
    </row>
    <row r="71" spans="1:5" x14ac:dyDescent="0.25">
      <c r="A71" t="s">
        <v>1134</v>
      </c>
      <c r="B71" s="65" t="s">
        <v>93</v>
      </c>
      <c r="D71" s="3" t="s">
        <v>1134</v>
      </c>
      <c r="E71" s="65" t="s">
        <v>93</v>
      </c>
    </row>
    <row r="72" spans="1:5" x14ac:dyDescent="0.25">
      <c r="A72" t="s">
        <v>1135</v>
      </c>
      <c r="B72" s="65" t="s">
        <v>93</v>
      </c>
      <c r="D72" s="3" t="s">
        <v>1135</v>
      </c>
      <c r="E72" s="65" t="s">
        <v>93</v>
      </c>
    </row>
    <row r="73" spans="1:5" x14ac:dyDescent="0.25">
      <c r="A73" t="s">
        <v>368</v>
      </c>
      <c r="B73" s="65" t="s">
        <v>56</v>
      </c>
      <c r="D73" s="3" t="s">
        <v>368</v>
      </c>
      <c r="E73" s="65" t="s">
        <v>56</v>
      </c>
    </row>
    <row r="74" spans="1:5" x14ac:dyDescent="0.25">
      <c r="A74" s="5" t="s">
        <v>372</v>
      </c>
      <c r="B74" s="65" t="s">
        <v>44</v>
      </c>
      <c r="D74" s="3" t="s">
        <v>1184</v>
      </c>
      <c r="E74" s="65" t="s">
        <v>44</v>
      </c>
    </row>
    <row r="75" spans="1:5" x14ac:dyDescent="0.25">
      <c r="A75" s="32" t="s">
        <v>378</v>
      </c>
      <c r="B75" s="65" t="s">
        <v>56</v>
      </c>
      <c r="D75" s="3" t="s">
        <v>378</v>
      </c>
      <c r="E75" s="65" t="s">
        <v>56</v>
      </c>
    </row>
    <row r="76" spans="1:5" x14ac:dyDescent="0.25">
      <c r="A76" s="33" t="s">
        <v>1136</v>
      </c>
      <c r="B76" s="65" t="s">
        <v>93</v>
      </c>
      <c r="D76" s="3" t="s">
        <v>1136</v>
      </c>
      <c r="E76" s="65" t="s">
        <v>93</v>
      </c>
    </row>
    <row r="77" spans="1:5" x14ac:dyDescent="0.25">
      <c r="A77" t="s">
        <v>383</v>
      </c>
      <c r="B77" s="65" t="s">
        <v>74</v>
      </c>
      <c r="D77" s="3" t="s">
        <v>383</v>
      </c>
      <c r="E77" s="65" t="s">
        <v>74</v>
      </c>
    </row>
    <row r="78" spans="1:5" x14ac:dyDescent="0.25">
      <c r="A78" t="s">
        <v>1137</v>
      </c>
      <c r="B78" s="65" t="s">
        <v>93</v>
      </c>
      <c r="D78" s="3" t="s">
        <v>1137</v>
      </c>
      <c r="E78" s="65" t="s">
        <v>93</v>
      </c>
    </row>
    <row r="79" spans="1:5" x14ac:dyDescent="0.25">
      <c r="A79" t="s">
        <v>389</v>
      </c>
      <c r="B79" s="65" t="s">
        <v>93</v>
      </c>
      <c r="D79" s="3" t="s">
        <v>389</v>
      </c>
      <c r="E79" s="65" t="s">
        <v>93</v>
      </c>
    </row>
    <row r="80" spans="1:5" x14ac:dyDescent="0.25">
      <c r="A80" t="s">
        <v>1138</v>
      </c>
      <c r="B80" s="65" t="s">
        <v>93</v>
      </c>
      <c r="D80" s="3" t="s">
        <v>1138</v>
      </c>
      <c r="E80" s="65" t="s">
        <v>93</v>
      </c>
    </row>
    <row r="81" spans="1:5" x14ac:dyDescent="0.25">
      <c r="A81" t="s">
        <v>393</v>
      </c>
      <c r="B81" s="65" t="s">
        <v>56</v>
      </c>
      <c r="D81" s="3" t="s">
        <v>393</v>
      </c>
      <c r="E81" s="65" t="s">
        <v>56</v>
      </c>
    </row>
    <row r="82" spans="1:5" x14ac:dyDescent="0.25">
      <c r="A82" t="s">
        <v>1139</v>
      </c>
      <c r="B82" s="65" t="s">
        <v>93</v>
      </c>
      <c r="D82" s="3" t="s">
        <v>1139</v>
      </c>
      <c r="E82" s="65" t="s">
        <v>93</v>
      </c>
    </row>
    <row r="83" spans="1:5" x14ac:dyDescent="0.25">
      <c r="A83" t="s">
        <v>396</v>
      </c>
      <c r="B83" s="65" t="s">
        <v>56</v>
      </c>
      <c r="D83" s="3" t="s">
        <v>396</v>
      </c>
      <c r="E83" s="65" t="s">
        <v>56</v>
      </c>
    </row>
    <row r="84" spans="1:5" x14ac:dyDescent="0.25">
      <c r="A84" t="s">
        <v>402</v>
      </c>
      <c r="B84" s="65" t="s">
        <v>74</v>
      </c>
      <c r="D84" s="3" t="s">
        <v>402</v>
      </c>
      <c r="E84" s="65" t="s">
        <v>74</v>
      </c>
    </row>
    <row r="85" spans="1:5" x14ac:dyDescent="0.25">
      <c r="A85" s="5" t="s">
        <v>408</v>
      </c>
      <c r="B85" s="65" t="s">
        <v>44</v>
      </c>
      <c r="D85" s="3" t="s">
        <v>1185</v>
      </c>
      <c r="E85" s="65" t="s">
        <v>44</v>
      </c>
    </row>
    <row r="86" spans="1:5" x14ac:dyDescent="0.25">
      <c r="A86" t="s">
        <v>413</v>
      </c>
      <c r="B86" s="65" t="s">
        <v>93</v>
      </c>
      <c r="D86" s="3" t="s">
        <v>413</v>
      </c>
      <c r="E86" s="65" t="s">
        <v>93</v>
      </c>
    </row>
    <row r="87" spans="1:5" x14ac:dyDescent="0.25">
      <c r="A87" t="s">
        <v>419</v>
      </c>
      <c r="B87" s="65" t="s">
        <v>74</v>
      </c>
      <c r="D87" s="3" t="s">
        <v>419</v>
      </c>
      <c r="E87" s="65" t="s">
        <v>74</v>
      </c>
    </row>
    <row r="88" spans="1:5" x14ac:dyDescent="0.25">
      <c r="A88" t="s">
        <v>425</v>
      </c>
      <c r="B88" s="65" t="s">
        <v>74</v>
      </c>
      <c r="D88" s="3" t="s">
        <v>425</v>
      </c>
      <c r="E88" s="65" t="s">
        <v>74</v>
      </c>
    </row>
    <row r="89" spans="1:5" x14ac:dyDescent="0.25">
      <c r="A89" t="s">
        <v>1140</v>
      </c>
      <c r="B89" s="65" t="s">
        <v>93</v>
      </c>
      <c r="D89" s="3" t="s">
        <v>1140</v>
      </c>
      <c r="E89" s="65" t="s">
        <v>93</v>
      </c>
    </row>
    <row r="90" spans="1:5" x14ac:dyDescent="0.25">
      <c r="A90" t="s">
        <v>1141</v>
      </c>
      <c r="B90" s="65" t="s">
        <v>93</v>
      </c>
      <c r="D90" s="3" t="s">
        <v>1141</v>
      </c>
      <c r="E90" s="65" t="s">
        <v>93</v>
      </c>
    </row>
    <row r="91" spans="1:5" x14ac:dyDescent="0.25">
      <c r="A91" t="s">
        <v>1142</v>
      </c>
      <c r="B91" s="65" t="s">
        <v>93</v>
      </c>
      <c r="D91" s="3" t="s">
        <v>1142</v>
      </c>
      <c r="E91" s="65" t="s">
        <v>93</v>
      </c>
    </row>
    <row r="92" spans="1:5" x14ac:dyDescent="0.25">
      <c r="A92" t="s">
        <v>431</v>
      </c>
      <c r="B92" s="65" t="s">
        <v>74</v>
      </c>
      <c r="D92" s="3" t="s">
        <v>431</v>
      </c>
      <c r="E92" s="65" t="s">
        <v>74</v>
      </c>
    </row>
    <row r="93" spans="1:5" x14ac:dyDescent="0.25">
      <c r="A93" s="32" t="s">
        <v>437</v>
      </c>
      <c r="B93" s="65" t="s">
        <v>56</v>
      </c>
      <c r="D93" s="3" t="s">
        <v>437</v>
      </c>
      <c r="E93" s="65" t="s">
        <v>56</v>
      </c>
    </row>
    <row r="94" spans="1:5" x14ac:dyDescent="0.25">
      <c r="A94" s="5" t="s">
        <v>443</v>
      </c>
      <c r="B94" s="65" t="s">
        <v>56</v>
      </c>
      <c r="D94" s="3" t="s">
        <v>1186</v>
      </c>
      <c r="E94" s="65" t="s">
        <v>56</v>
      </c>
    </row>
    <row r="95" spans="1:5" x14ac:dyDescent="0.25">
      <c r="A95" t="s">
        <v>449</v>
      </c>
      <c r="B95" s="65" t="s">
        <v>56</v>
      </c>
      <c r="D95" s="3" t="s">
        <v>449</v>
      </c>
      <c r="E95" s="65" t="s">
        <v>56</v>
      </c>
    </row>
    <row r="96" spans="1:5" x14ac:dyDescent="0.25">
      <c r="A96" t="s">
        <v>1143</v>
      </c>
      <c r="B96" s="65" t="s">
        <v>93</v>
      </c>
      <c r="D96" s="3" t="s">
        <v>1143</v>
      </c>
      <c r="E96" s="65" t="s">
        <v>93</v>
      </c>
    </row>
    <row r="97" spans="1:5" x14ac:dyDescent="0.25">
      <c r="A97" t="s">
        <v>1144</v>
      </c>
      <c r="B97" s="65" t="s">
        <v>93</v>
      </c>
      <c r="D97" s="3" t="s">
        <v>1144</v>
      </c>
      <c r="E97" s="65" t="s">
        <v>93</v>
      </c>
    </row>
    <row r="98" spans="1:5" x14ac:dyDescent="0.25">
      <c r="A98" t="s">
        <v>1145</v>
      </c>
      <c r="B98" s="65" t="s">
        <v>93</v>
      </c>
      <c r="D98" s="3" t="s">
        <v>1145</v>
      </c>
      <c r="E98" s="65" t="s">
        <v>93</v>
      </c>
    </row>
    <row r="99" spans="1:5" x14ac:dyDescent="0.25">
      <c r="A99" t="s">
        <v>1146</v>
      </c>
      <c r="B99" s="65" t="s">
        <v>93</v>
      </c>
      <c r="D99" s="3" t="s">
        <v>1146</v>
      </c>
      <c r="E99" s="65" t="s">
        <v>93</v>
      </c>
    </row>
    <row r="100" spans="1:5" x14ac:dyDescent="0.25">
      <c r="A100" t="s">
        <v>455</v>
      </c>
      <c r="B100" s="65" t="s">
        <v>56</v>
      </c>
      <c r="D100" s="3" t="s">
        <v>455</v>
      </c>
      <c r="E100" s="65" t="s">
        <v>56</v>
      </c>
    </row>
    <row r="101" spans="1:5" x14ac:dyDescent="0.25">
      <c r="A101" t="s">
        <v>1147</v>
      </c>
      <c r="B101" s="65" t="s">
        <v>93</v>
      </c>
      <c r="D101" s="3" t="s">
        <v>1147</v>
      </c>
      <c r="E101" s="65" t="s">
        <v>93</v>
      </c>
    </row>
    <row r="102" spans="1:5" x14ac:dyDescent="0.25">
      <c r="A102" t="s">
        <v>460</v>
      </c>
      <c r="B102" s="65" t="s">
        <v>74</v>
      </c>
      <c r="D102" s="3" t="s">
        <v>460</v>
      </c>
      <c r="E102" s="65" t="s">
        <v>74</v>
      </c>
    </row>
    <row r="103" spans="1:5" x14ac:dyDescent="0.25">
      <c r="A103" t="s">
        <v>466</v>
      </c>
      <c r="B103" s="65" t="s">
        <v>56</v>
      </c>
      <c r="D103" s="3" t="s">
        <v>466</v>
      </c>
      <c r="E103" s="65" t="s">
        <v>56</v>
      </c>
    </row>
    <row r="104" spans="1:5" x14ac:dyDescent="0.25">
      <c r="A104" t="s">
        <v>472</v>
      </c>
      <c r="B104" s="65" t="s">
        <v>74</v>
      </c>
      <c r="D104" s="3" t="s">
        <v>472</v>
      </c>
      <c r="E104" s="65" t="s">
        <v>74</v>
      </c>
    </row>
    <row r="105" spans="1:5" x14ac:dyDescent="0.25">
      <c r="A105" t="s">
        <v>478</v>
      </c>
      <c r="B105" s="65" t="s">
        <v>74</v>
      </c>
      <c r="D105" s="3" t="s">
        <v>478</v>
      </c>
      <c r="E105" s="65" t="s">
        <v>74</v>
      </c>
    </row>
    <row r="106" spans="1:5" x14ac:dyDescent="0.25">
      <c r="A106" t="s">
        <v>1148</v>
      </c>
      <c r="B106" s="65" t="s">
        <v>93</v>
      </c>
      <c r="D106" s="3" t="s">
        <v>1148</v>
      </c>
      <c r="E106" s="65" t="s">
        <v>93</v>
      </c>
    </row>
    <row r="107" spans="1:5" x14ac:dyDescent="0.25">
      <c r="A107" s="5" t="s">
        <v>482</v>
      </c>
      <c r="B107" s="65" t="s">
        <v>56</v>
      </c>
      <c r="D107" s="3" t="s">
        <v>1188</v>
      </c>
      <c r="E107" s="65" t="s">
        <v>56</v>
      </c>
    </row>
    <row r="108" spans="1:5" x14ac:dyDescent="0.25">
      <c r="A108" t="s">
        <v>487</v>
      </c>
      <c r="B108" s="65" t="s">
        <v>93</v>
      </c>
      <c r="D108" s="3" t="s">
        <v>487</v>
      </c>
      <c r="E108" s="65" t="s">
        <v>93</v>
      </c>
    </row>
    <row r="109" spans="1:5" x14ac:dyDescent="0.25">
      <c r="A109" s="12" t="s">
        <v>696</v>
      </c>
      <c r="B109" s="65" t="s">
        <v>74</v>
      </c>
      <c r="D109" s="3" t="s">
        <v>1189</v>
      </c>
      <c r="E109" s="65" t="s">
        <v>74</v>
      </c>
    </row>
    <row r="110" spans="1:5" x14ac:dyDescent="0.25">
      <c r="A110" s="12" t="s">
        <v>490</v>
      </c>
      <c r="B110" s="65" t="s">
        <v>74</v>
      </c>
      <c r="D110" s="3" t="s">
        <v>1190</v>
      </c>
      <c r="E110" s="65" t="s">
        <v>74</v>
      </c>
    </row>
    <row r="111" spans="1:5" x14ac:dyDescent="0.25">
      <c r="A111" t="s">
        <v>1149</v>
      </c>
      <c r="B111" s="65" t="s">
        <v>93</v>
      </c>
      <c r="D111" s="3" t="s">
        <v>1149</v>
      </c>
      <c r="E111" s="65" t="s">
        <v>93</v>
      </c>
    </row>
    <row r="112" spans="1:5" x14ac:dyDescent="0.25">
      <c r="A112" t="s">
        <v>496</v>
      </c>
      <c r="B112" s="65" t="s">
        <v>74</v>
      </c>
      <c r="D112" s="3" t="s">
        <v>496</v>
      </c>
      <c r="E112" s="65" t="s">
        <v>74</v>
      </c>
    </row>
    <row r="113" spans="1:5" x14ac:dyDescent="0.25">
      <c r="A113" t="s">
        <v>502</v>
      </c>
      <c r="B113" s="65" t="s">
        <v>74</v>
      </c>
      <c r="D113" s="3" t="s">
        <v>502</v>
      </c>
      <c r="E113" s="65" t="s">
        <v>74</v>
      </c>
    </row>
    <row r="114" spans="1:5" x14ac:dyDescent="0.25">
      <c r="A114" t="s">
        <v>508</v>
      </c>
      <c r="B114" s="65" t="s">
        <v>44</v>
      </c>
      <c r="D114" s="3" t="s">
        <v>508</v>
      </c>
      <c r="E114" s="65" t="s">
        <v>44</v>
      </c>
    </row>
    <row r="115" spans="1:5" x14ac:dyDescent="0.25">
      <c r="A115" t="s">
        <v>513</v>
      </c>
      <c r="B115" s="65" t="s">
        <v>56</v>
      </c>
      <c r="D115" s="3" t="s">
        <v>513</v>
      </c>
      <c r="E115" s="65" t="s">
        <v>56</v>
      </c>
    </row>
    <row r="116" spans="1:5" x14ac:dyDescent="0.25">
      <c r="A116" t="s">
        <v>1150</v>
      </c>
      <c r="B116" s="65" t="s">
        <v>93</v>
      </c>
      <c r="D116" s="3" t="s">
        <v>1150</v>
      </c>
      <c r="E116" s="65" t="s">
        <v>93</v>
      </c>
    </row>
    <row r="117" spans="1:5" x14ac:dyDescent="0.25">
      <c r="A117" t="s">
        <v>1151</v>
      </c>
      <c r="B117" s="65" t="s">
        <v>93</v>
      </c>
      <c r="D117" s="3" t="s">
        <v>1151</v>
      </c>
      <c r="E117" s="65" t="s">
        <v>93</v>
      </c>
    </row>
    <row r="118" spans="1:5" x14ac:dyDescent="0.25">
      <c r="A118" t="s">
        <v>1152</v>
      </c>
      <c r="B118" s="65" t="s">
        <v>93</v>
      </c>
      <c r="D118" s="3" t="s">
        <v>1152</v>
      </c>
      <c r="E118" s="65" t="s">
        <v>93</v>
      </c>
    </row>
    <row r="119" spans="1:5" x14ac:dyDescent="0.25">
      <c r="A119" t="s">
        <v>1153</v>
      </c>
      <c r="B119" s="65" t="s">
        <v>93</v>
      </c>
      <c r="D119" s="3" t="s">
        <v>1153</v>
      </c>
      <c r="E119" s="65" t="s">
        <v>93</v>
      </c>
    </row>
    <row r="120" spans="1:5" x14ac:dyDescent="0.25">
      <c r="A120" t="s">
        <v>519</v>
      </c>
      <c r="B120" s="65" t="s">
        <v>44</v>
      </c>
      <c r="D120" s="3" t="s">
        <v>519</v>
      </c>
      <c r="E120" s="65" t="s">
        <v>44</v>
      </c>
    </row>
    <row r="121" spans="1:5" x14ac:dyDescent="0.25">
      <c r="A121" t="s">
        <v>525</v>
      </c>
      <c r="B121" s="65" t="s">
        <v>44</v>
      </c>
      <c r="D121" s="3" t="s">
        <v>525</v>
      </c>
      <c r="E121" s="65" t="s">
        <v>44</v>
      </c>
    </row>
    <row r="122" spans="1:5" x14ac:dyDescent="0.25">
      <c r="A122" t="s">
        <v>531</v>
      </c>
      <c r="B122" s="65" t="s">
        <v>56</v>
      </c>
      <c r="D122" s="3" t="s">
        <v>531</v>
      </c>
      <c r="E122" s="65" t="s">
        <v>56</v>
      </c>
    </row>
    <row r="123" spans="1:5" x14ac:dyDescent="0.25">
      <c r="A123" t="s">
        <v>535</v>
      </c>
      <c r="B123" s="65" t="s">
        <v>56</v>
      </c>
      <c r="D123" s="3" t="s">
        <v>535</v>
      </c>
      <c r="E123" s="65" t="s">
        <v>56</v>
      </c>
    </row>
    <row r="124" spans="1:5" x14ac:dyDescent="0.25">
      <c r="A124" t="s">
        <v>540</v>
      </c>
      <c r="B124" s="65" t="s">
        <v>44</v>
      </c>
      <c r="D124" s="3" t="s">
        <v>540</v>
      </c>
      <c r="E124" s="65" t="s">
        <v>44</v>
      </c>
    </row>
    <row r="125" spans="1:5" x14ac:dyDescent="0.25">
      <c r="A125" t="s">
        <v>1154</v>
      </c>
      <c r="B125" s="65" t="s">
        <v>93</v>
      </c>
      <c r="D125" s="3" t="s">
        <v>1154</v>
      </c>
      <c r="E125" s="65" t="s">
        <v>93</v>
      </c>
    </row>
    <row r="126" spans="1:5" x14ac:dyDescent="0.25">
      <c r="A126" t="s">
        <v>546</v>
      </c>
      <c r="B126" s="65" t="s">
        <v>56</v>
      </c>
      <c r="D126" s="3" t="s">
        <v>546</v>
      </c>
      <c r="E126" s="65" t="s">
        <v>56</v>
      </c>
    </row>
    <row r="127" spans="1:5" x14ac:dyDescent="0.25">
      <c r="A127" t="s">
        <v>549</v>
      </c>
      <c r="B127" s="65" t="s">
        <v>74</v>
      </c>
      <c r="D127" s="3" t="s">
        <v>549</v>
      </c>
      <c r="E127" s="65" t="s">
        <v>74</v>
      </c>
    </row>
    <row r="128" spans="1:5" x14ac:dyDescent="0.25">
      <c r="A128" t="s">
        <v>1155</v>
      </c>
      <c r="B128" s="65" t="s">
        <v>56</v>
      </c>
      <c r="D128" s="3" t="s">
        <v>1155</v>
      </c>
      <c r="E128" s="65" t="s">
        <v>56</v>
      </c>
    </row>
    <row r="129" spans="1:5" x14ac:dyDescent="0.25">
      <c r="A129" t="s">
        <v>555</v>
      </c>
      <c r="B129" s="65" t="s">
        <v>56</v>
      </c>
      <c r="D129" s="3" t="s">
        <v>555</v>
      </c>
      <c r="E129" s="65" t="s">
        <v>56</v>
      </c>
    </row>
    <row r="130" spans="1:5" x14ac:dyDescent="0.25">
      <c r="A130" s="12" t="s">
        <v>480</v>
      </c>
      <c r="B130" s="65" t="s">
        <v>74</v>
      </c>
      <c r="D130" s="3" t="s">
        <v>1191</v>
      </c>
      <c r="E130" s="65" t="s">
        <v>74</v>
      </c>
    </row>
    <row r="131" spans="1:5" x14ac:dyDescent="0.25">
      <c r="A131" t="s">
        <v>563</v>
      </c>
      <c r="B131" s="65" t="s">
        <v>56</v>
      </c>
      <c r="D131" s="3" t="s">
        <v>563</v>
      </c>
      <c r="E131" s="65" t="s">
        <v>56</v>
      </c>
    </row>
    <row r="132" spans="1:5" x14ac:dyDescent="0.25">
      <c r="A132" t="s">
        <v>1156</v>
      </c>
      <c r="B132" s="65" t="s">
        <v>93</v>
      </c>
      <c r="D132" s="3" t="s">
        <v>1156</v>
      </c>
      <c r="E132" s="65" t="s">
        <v>93</v>
      </c>
    </row>
    <row r="133" spans="1:5" x14ac:dyDescent="0.25">
      <c r="A133" t="s">
        <v>569</v>
      </c>
      <c r="B133" s="65" t="s">
        <v>56</v>
      </c>
      <c r="D133" s="3" t="s">
        <v>569</v>
      </c>
      <c r="E133" s="65" t="s">
        <v>56</v>
      </c>
    </row>
    <row r="134" spans="1:5" x14ac:dyDescent="0.25">
      <c r="A134" s="12" t="s">
        <v>701</v>
      </c>
      <c r="B134" s="65" t="s">
        <v>56</v>
      </c>
      <c r="D134" s="3" t="s">
        <v>1192</v>
      </c>
      <c r="E134" s="65" t="s">
        <v>56</v>
      </c>
    </row>
    <row r="135" spans="1:5" x14ac:dyDescent="0.25">
      <c r="A135" t="s">
        <v>577</v>
      </c>
      <c r="B135" s="65" t="s">
        <v>74</v>
      </c>
      <c r="D135" s="3" t="s">
        <v>577</v>
      </c>
      <c r="E135" s="65" t="s">
        <v>74</v>
      </c>
    </row>
    <row r="136" spans="1:5" x14ac:dyDescent="0.25">
      <c r="A136" s="12" t="s">
        <v>706</v>
      </c>
      <c r="B136" s="65" t="s">
        <v>44</v>
      </c>
      <c r="D136" s="3" t="s">
        <v>1193</v>
      </c>
      <c r="E136" s="65" t="s">
        <v>44</v>
      </c>
    </row>
    <row r="137" spans="1:5" x14ac:dyDescent="0.25">
      <c r="A137" t="s">
        <v>583</v>
      </c>
      <c r="B137" s="65" t="s">
        <v>74</v>
      </c>
      <c r="D137" s="3" t="s">
        <v>583</v>
      </c>
      <c r="E137" s="65" t="s">
        <v>74</v>
      </c>
    </row>
    <row r="138" spans="1:5" x14ac:dyDescent="0.25">
      <c r="A138" t="s">
        <v>590</v>
      </c>
      <c r="B138" s="66" t="s">
        <v>74</v>
      </c>
      <c r="D138" s="3" t="s">
        <v>590</v>
      </c>
      <c r="E138" s="66" t="s">
        <v>74</v>
      </c>
    </row>
    <row r="139" spans="1:5" x14ac:dyDescent="0.25">
      <c r="A139" t="s">
        <v>596</v>
      </c>
      <c r="B139" s="65" t="s">
        <v>93</v>
      </c>
      <c r="D139" s="3" t="s">
        <v>596</v>
      </c>
      <c r="E139" s="65" t="s">
        <v>93</v>
      </c>
    </row>
    <row r="140" spans="1:5" x14ac:dyDescent="0.25">
      <c r="A140" t="s">
        <v>599</v>
      </c>
      <c r="B140" s="65" t="s">
        <v>74</v>
      </c>
      <c r="D140" s="3" t="s">
        <v>599</v>
      </c>
      <c r="E140" s="65" t="s">
        <v>74</v>
      </c>
    </row>
    <row r="141" spans="1:5" x14ac:dyDescent="0.25">
      <c r="A141" t="s">
        <v>1157</v>
      </c>
      <c r="B141" s="65" t="s">
        <v>93</v>
      </c>
      <c r="D141" s="3" t="s">
        <v>1157</v>
      </c>
      <c r="E141" s="65" t="s">
        <v>93</v>
      </c>
    </row>
    <row r="142" spans="1:5" x14ac:dyDescent="0.25">
      <c r="A142" t="s">
        <v>1158</v>
      </c>
      <c r="B142" s="65" t="s">
        <v>93</v>
      </c>
      <c r="D142" s="3" t="s">
        <v>1158</v>
      </c>
      <c r="E142" s="65" t="s">
        <v>93</v>
      </c>
    </row>
    <row r="143" spans="1:5" x14ac:dyDescent="0.25">
      <c r="A143" t="s">
        <v>1159</v>
      </c>
      <c r="B143" s="65" t="s">
        <v>93</v>
      </c>
      <c r="D143" s="3" t="s">
        <v>1159</v>
      </c>
      <c r="E143" s="65" t="s">
        <v>93</v>
      </c>
    </row>
    <row r="144" spans="1:5" x14ac:dyDescent="0.25">
      <c r="A144" t="s">
        <v>605</v>
      </c>
      <c r="B144" s="65" t="s">
        <v>74</v>
      </c>
      <c r="D144" s="3" t="s">
        <v>605</v>
      </c>
      <c r="E144" s="65" t="s">
        <v>74</v>
      </c>
    </row>
    <row r="145" spans="1:5" x14ac:dyDescent="0.25">
      <c r="A145" t="s">
        <v>610</v>
      </c>
      <c r="B145" s="65" t="s">
        <v>44</v>
      </c>
      <c r="D145" s="3" t="s">
        <v>610</v>
      </c>
      <c r="E145" s="65" t="s">
        <v>44</v>
      </c>
    </row>
    <row r="146" spans="1:5" x14ac:dyDescent="0.25">
      <c r="A146" t="s">
        <v>616</v>
      </c>
      <c r="B146" s="65" t="s">
        <v>74</v>
      </c>
      <c r="D146" s="3" t="s">
        <v>616</v>
      </c>
      <c r="E146" s="65" t="s">
        <v>74</v>
      </c>
    </row>
    <row r="147" spans="1:5" x14ac:dyDescent="0.25">
      <c r="A147" t="s">
        <v>625</v>
      </c>
      <c r="B147" s="65" t="s">
        <v>56</v>
      </c>
      <c r="D147" s="3" t="s">
        <v>625</v>
      </c>
      <c r="E147" s="65" t="s">
        <v>56</v>
      </c>
    </row>
    <row r="148" spans="1:5" x14ac:dyDescent="0.25">
      <c r="A148" t="s">
        <v>1160</v>
      </c>
      <c r="B148" s="65" t="s">
        <v>93</v>
      </c>
      <c r="D148" s="3" t="s">
        <v>1160</v>
      </c>
      <c r="E148" s="65" t="s">
        <v>93</v>
      </c>
    </row>
    <row r="149" spans="1:5" x14ac:dyDescent="0.25">
      <c r="A149" t="s">
        <v>1161</v>
      </c>
      <c r="B149" s="65" t="s">
        <v>93</v>
      </c>
      <c r="D149" s="3" t="s">
        <v>1161</v>
      </c>
      <c r="E149" s="65" t="s">
        <v>93</v>
      </c>
    </row>
    <row r="150" spans="1:5" x14ac:dyDescent="0.25">
      <c r="A150" t="s">
        <v>629</v>
      </c>
      <c r="B150" s="65" t="s">
        <v>93</v>
      </c>
      <c r="D150" s="3" t="s">
        <v>629</v>
      </c>
      <c r="E150" s="65" t="s">
        <v>93</v>
      </c>
    </row>
    <row r="151" spans="1:5" x14ac:dyDescent="0.25">
      <c r="A151" t="s">
        <v>633</v>
      </c>
      <c r="B151" s="65" t="s">
        <v>74</v>
      </c>
      <c r="D151" s="3" t="s">
        <v>633</v>
      </c>
      <c r="E151" s="65" t="s">
        <v>74</v>
      </c>
    </row>
    <row r="152" spans="1:5" x14ac:dyDescent="0.25">
      <c r="A152" t="s">
        <v>639</v>
      </c>
      <c r="B152" s="65" t="s">
        <v>93</v>
      </c>
      <c r="D152" s="3" t="s">
        <v>639</v>
      </c>
      <c r="E152" s="65" t="s">
        <v>93</v>
      </c>
    </row>
    <row r="153" spans="1:5" x14ac:dyDescent="0.25">
      <c r="A153" t="s">
        <v>648</v>
      </c>
      <c r="B153" s="65" t="s">
        <v>93</v>
      </c>
      <c r="D153" s="3" t="s">
        <v>648</v>
      </c>
      <c r="E153" s="65" t="s">
        <v>93</v>
      </c>
    </row>
    <row r="154" spans="1:5" x14ac:dyDescent="0.25">
      <c r="A154" t="s">
        <v>654</v>
      </c>
      <c r="B154" s="65" t="s">
        <v>74</v>
      </c>
      <c r="D154" s="3" t="s">
        <v>654</v>
      </c>
      <c r="E154" s="65" t="s">
        <v>74</v>
      </c>
    </row>
    <row r="155" spans="1:5" x14ac:dyDescent="0.25">
      <c r="A155" t="s">
        <v>660</v>
      </c>
      <c r="B155" s="65" t="s">
        <v>56</v>
      </c>
      <c r="D155" s="3" t="s">
        <v>660</v>
      </c>
      <c r="E155" s="65" t="s">
        <v>56</v>
      </c>
    </row>
    <row r="156" spans="1:5" x14ac:dyDescent="0.25">
      <c r="A156" t="s">
        <v>665</v>
      </c>
      <c r="B156" s="65" t="s">
        <v>56</v>
      </c>
      <c r="D156" s="3" t="s">
        <v>665</v>
      </c>
      <c r="E156" s="65" t="s">
        <v>56</v>
      </c>
    </row>
    <row r="157" spans="1:5" x14ac:dyDescent="0.25">
      <c r="A157" t="s">
        <v>671</v>
      </c>
      <c r="B157" s="65" t="s">
        <v>74</v>
      </c>
      <c r="D157" s="3" t="s">
        <v>671</v>
      </c>
      <c r="E157" s="65" t="s">
        <v>74</v>
      </c>
    </row>
    <row r="158" spans="1:5" x14ac:dyDescent="0.25">
      <c r="A158" t="s">
        <v>676</v>
      </c>
      <c r="B158" s="65" t="s">
        <v>93</v>
      </c>
      <c r="D158" s="3" t="s">
        <v>676</v>
      </c>
      <c r="E158" s="65" t="s">
        <v>93</v>
      </c>
    </row>
    <row r="159" spans="1:5" x14ac:dyDescent="0.25">
      <c r="A159" t="s">
        <v>1162</v>
      </c>
      <c r="B159" s="65" t="s">
        <v>93</v>
      </c>
      <c r="D159" s="3" t="s">
        <v>1162</v>
      </c>
      <c r="E159" s="65" t="s">
        <v>93</v>
      </c>
    </row>
    <row r="160" spans="1:5" x14ac:dyDescent="0.25">
      <c r="A160" s="32" t="s">
        <v>1163</v>
      </c>
      <c r="B160" s="65" t="s">
        <v>93</v>
      </c>
      <c r="D160" s="3" t="s">
        <v>1194</v>
      </c>
      <c r="E160" s="65" t="s">
        <v>93</v>
      </c>
    </row>
    <row r="161" spans="1:5" x14ac:dyDescent="0.25">
      <c r="A161" t="s">
        <v>681</v>
      </c>
      <c r="B161" s="65" t="s">
        <v>93</v>
      </c>
      <c r="D161" s="3" t="s">
        <v>681</v>
      </c>
      <c r="E161" s="65" t="s">
        <v>93</v>
      </c>
    </row>
    <row r="162" spans="1:5" x14ac:dyDescent="0.25">
      <c r="A162" t="s">
        <v>712</v>
      </c>
      <c r="B162" s="65" t="s">
        <v>93</v>
      </c>
      <c r="D162" s="3" t="s">
        <v>712</v>
      </c>
      <c r="E162" s="65" t="s">
        <v>93</v>
      </c>
    </row>
    <row r="163" spans="1:5" x14ac:dyDescent="0.25">
      <c r="A163" t="s">
        <v>1164</v>
      </c>
      <c r="B163" s="65" t="s">
        <v>93</v>
      </c>
      <c r="D163" s="3" t="s">
        <v>1164</v>
      </c>
      <c r="E163" s="65" t="s">
        <v>93</v>
      </c>
    </row>
    <row r="164" spans="1:5" x14ac:dyDescent="0.25">
      <c r="A164" t="s">
        <v>718</v>
      </c>
      <c r="B164" s="65" t="s">
        <v>44</v>
      </c>
      <c r="D164" s="3" t="s">
        <v>718</v>
      </c>
      <c r="E164" s="65" t="s">
        <v>44</v>
      </c>
    </row>
    <row r="165" spans="1:5" x14ac:dyDescent="0.25">
      <c r="A165" t="s">
        <v>724</v>
      </c>
      <c r="B165" s="66" t="s">
        <v>56</v>
      </c>
      <c r="D165" s="3" t="s">
        <v>724</v>
      </c>
      <c r="E165" s="66" t="s">
        <v>56</v>
      </c>
    </row>
    <row r="166" spans="1:5" x14ac:dyDescent="0.25">
      <c r="A166" t="s">
        <v>1165</v>
      </c>
      <c r="B166" s="65" t="s">
        <v>93</v>
      </c>
      <c r="D166" s="3" t="s">
        <v>1165</v>
      </c>
      <c r="E166" s="65" t="s">
        <v>93</v>
      </c>
    </row>
    <row r="167" spans="1:5" x14ac:dyDescent="0.25">
      <c r="A167" s="12" t="s">
        <v>727</v>
      </c>
      <c r="B167" s="65" t="s">
        <v>74</v>
      </c>
      <c r="D167" s="3" t="s">
        <v>1195</v>
      </c>
      <c r="E167" s="65" t="s">
        <v>74</v>
      </c>
    </row>
    <row r="168" spans="1:5" x14ac:dyDescent="0.25">
      <c r="A168" t="s">
        <v>115</v>
      </c>
      <c r="B168" s="65" t="s">
        <v>93</v>
      </c>
      <c r="D168" s="3" t="s">
        <v>115</v>
      </c>
      <c r="E168" s="65" t="s">
        <v>93</v>
      </c>
    </row>
    <row r="169" spans="1:5" x14ac:dyDescent="0.25">
      <c r="A169" t="s">
        <v>736</v>
      </c>
      <c r="B169" s="65" t="s">
        <v>74</v>
      </c>
      <c r="D169" s="3" t="s">
        <v>736</v>
      </c>
      <c r="E169" s="65" t="s">
        <v>74</v>
      </c>
    </row>
    <row r="170" spans="1:5" x14ac:dyDescent="0.25">
      <c r="A170" t="s">
        <v>741</v>
      </c>
      <c r="B170" s="65" t="s">
        <v>56</v>
      </c>
      <c r="D170" s="3" t="s">
        <v>741</v>
      </c>
      <c r="E170" s="65" t="s">
        <v>56</v>
      </c>
    </row>
    <row r="171" spans="1:5" x14ac:dyDescent="0.25">
      <c r="A171" t="s">
        <v>1166</v>
      </c>
      <c r="B171" s="65" t="s">
        <v>93</v>
      </c>
      <c r="D171" s="3" t="s">
        <v>1166</v>
      </c>
      <c r="E171" s="65" t="s">
        <v>93</v>
      </c>
    </row>
    <row r="172" spans="1:5" x14ac:dyDescent="0.25">
      <c r="A172" t="s">
        <v>746</v>
      </c>
      <c r="B172" s="65" t="s">
        <v>44</v>
      </c>
      <c r="D172" s="3" t="s">
        <v>746</v>
      </c>
      <c r="E172" s="65" t="s">
        <v>44</v>
      </c>
    </row>
    <row r="173" spans="1:5" x14ac:dyDescent="0.25">
      <c r="A173" t="s">
        <v>1167</v>
      </c>
      <c r="B173" s="65" t="s">
        <v>93</v>
      </c>
      <c r="D173" s="3" t="s">
        <v>1167</v>
      </c>
      <c r="E173" s="65" t="s">
        <v>93</v>
      </c>
    </row>
    <row r="174" spans="1:5" x14ac:dyDescent="0.25">
      <c r="A174" t="s">
        <v>1168</v>
      </c>
      <c r="B174" s="65" t="s">
        <v>93</v>
      </c>
      <c r="D174" s="3" t="s">
        <v>1168</v>
      </c>
      <c r="E174" s="65" t="s">
        <v>93</v>
      </c>
    </row>
    <row r="175" spans="1:5" x14ac:dyDescent="0.25">
      <c r="A175" t="s">
        <v>1169</v>
      </c>
      <c r="B175" s="65" t="s">
        <v>93</v>
      </c>
      <c r="D175" s="3" t="s">
        <v>1169</v>
      </c>
      <c r="E175" s="65" t="s">
        <v>93</v>
      </c>
    </row>
    <row r="176" spans="1:5" x14ac:dyDescent="0.25">
      <c r="A176" t="s">
        <v>1170</v>
      </c>
      <c r="B176" s="65" t="s">
        <v>93</v>
      </c>
      <c r="D176" s="3" t="s">
        <v>1170</v>
      </c>
      <c r="E176" s="65" t="s">
        <v>93</v>
      </c>
    </row>
    <row r="177" spans="1:5" x14ac:dyDescent="0.25">
      <c r="A177" t="s">
        <v>752</v>
      </c>
      <c r="B177" s="65" t="s">
        <v>74</v>
      </c>
      <c r="D177" s="3" t="s">
        <v>752</v>
      </c>
      <c r="E177" s="65" t="s">
        <v>74</v>
      </c>
    </row>
    <row r="178" spans="1:5" x14ac:dyDescent="0.25">
      <c r="A178" t="s">
        <v>755</v>
      </c>
      <c r="B178" s="65" t="s">
        <v>44</v>
      </c>
      <c r="D178" s="64" t="s">
        <v>1196</v>
      </c>
      <c r="E178" s="65" t="s">
        <v>44</v>
      </c>
    </row>
    <row r="179" spans="1:5" x14ac:dyDescent="0.25">
      <c r="A179" t="s">
        <v>761</v>
      </c>
      <c r="B179" s="65" t="s">
        <v>56</v>
      </c>
      <c r="D179" s="3" t="s">
        <v>761</v>
      </c>
      <c r="E179" s="65" t="s">
        <v>56</v>
      </c>
    </row>
    <row r="180" spans="1:5" x14ac:dyDescent="0.25">
      <c r="A180" t="s">
        <v>766</v>
      </c>
      <c r="B180" s="65" t="s">
        <v>44</v>
      </c>
      <c r="D180" s="3" t="s">
        <v>766</v>
      </c>
      <c r="E180" s="65" t="s">
        <v>44</v>
      </c>
    </row>
    <row r="181" spans="1:5" x14ac:dyDescent="0.25">
      <c r="A181" t="s">
        <v>1171</v>
      </c>
      <c r="B181" s="65" t="s">
        <v>93</v>
      </c>
      <c r="D181" s="3" t="s">
        <v>1171</v>
      </c>
      <c r="E181" s="65" t="s">
        <v>93</v>
      </c>
    </row>
    <row r="182" spans="1:5" x14ac:dyDescent="0.25">
      <c r="A182" t="s">
        <v>772</v>
      </c>
      <c r="B182" s="65" t="s">
        <v>74</v>
      </c>
      <c r="D182" s="3" t="s">
        <v>772</v>
      </c>
      <c r="E182" s="65" t="s">
        <v>74</v>
      </c>
    </row>
    <row r="183" spans="1:5" x14ac:dyDescent="0.25">
      <c r="A183" t="s">
        <v>779</v>
      </c>
      <c r="B183" s="65" t="s">
        <v>93</v>
      </c>
      <c r="D183" s="3" t="s">
        <v>779</v>
      </c>
      <c r="E183" s="65" t="s">
        <v>93</v>
      </c>
    </row>
    <row r="184" spans="1:5" x14ac:dyDescent="0.25">
      <c r="A184" t="s">
        <v>782</v>
      </c>
      <c r="B184" s="65" t="s">
        <v>56</v>
      </c>
      <c r="D184" s="3" t="s">
        <v>782</v>
      </c>
      <c r="E184" s="65" t="s">
        <v>56</v>
      </c>
    </row>
    <row r="185" spans="1:5" x14ac:dyDescent="0.25">
      <c r="A185" t="s">
        <v>1172</v>
      </c>
      <c r="B185" s="65" t="s">
        <v>93</v>
      </c>
      <c r="D185" s="3" t="s">
        <v>1172</v>
      </c>
      <c r="E185" s="65" t="s">
        <v>93</v>
      </c>
    </row>
    <row r="186" spans="1:5" x14ac:dyDescent="0.25">
      <c r="A186" t="s">
        <v>785</v>
      </c>
      <c r="B186" s="65" t="s">
        <v>56</v>
      </c>
      <c r="D186" s="3" t="s">
        <v>785</v>
      </c>
      <c r="E186" s="65" t="s">
        <v>56</v>
      </c>
    </row>
    <row r="187" spans="1:5" x14ac:dyDescent="0.25">
      <c r="A187" t="s">
        <v>788</v>
      </c>
      <c r="B187" s="65" t="s">
        <v>44</v>
      </c>
      <c r="D187" s="3" t="s">
        <v>788</v>
      </c>
      <c r="E187" s="65" t="s">
        <v>44</v>
      </c>
    </row>
    <row r="188" spans="1:5" x14ac:dyDescent="0.25">
      <c r="A188" t="s">
        <v>794</v>
      </c>
      <c r="B188" s="65" t="s">
        <v>56</v>
      </c>
      <c r="D188" s="3" t="s">
        <v>794</v>
      </c>
      <c r="E188" s="65" t="s">
        <v>56</v>
      </c>
    </row>
    <row r="189" spans="1:5" x14ac:dyDescent="0.25">
      <c r="A189" t="s">
        <v>1173</v>
      </c>
      <c r="B189" s="65" t="s">
        <v>93</v>
      </c>
      <c r="D189" s="3" t="s">
        <v>1173</v>
      </c>
      <c r="E189" s="65" t="s">
        <v>93</v>
      </c>
    </row>
    <row r="190" spans="1:5" x14ac:dyDescent="0.25">
      <c r="A190" t="s">
        <v>1174</v>
      </c>
      <c r="B190" s="65" t="s">
        <v>93</v>
      </c>
      <c r="D190" s="3" t="s">
        <v>1174</v>
      </c>
      <c r="E190" s="65" t="s">
        <v>93</v>
      </c>
    </row>
    <row r="191" spans="1:5" x14ac:dyDescent="0.25">
      <c r="A191" s="13" t="s">
        <v>797</v>
      </c>
      <c r="B191" s="65" t="s">
        <v>44</v>
      </c>
      <c r="D191" s="3" t="s">
        <v>1197</v>
      </c>
      <c r="E191" s="65" t="s">
        <v>44</v>
      </c>
    </row>
    <row r="192" spans="1:5" x14ac:dyDescent="0.25">
      <c r="A192" t="s">
        <v>1175</v>
      </c>
      <c r="B192" s="65" t="s">
        <v>93</v>
      </c>
      <c r="D192" s="3" t="s">
        <v>1175</v>
      </c>
      <c r="E192" s="65" t="s">
        <v>93</v>
      </c>
    </row>
    <row r="193" spans="1:5" x14ac:dyDescent="0.25">
      <c r="A193" t="s">
        <v>803</v>
      </c>
      <c r="B193" s="65" t="s">
        <v>74</v>
      </c>
      <c r="D193" s="3" t="s">
        <v>803</v>
      </c>
      <c r="E193" s="65" t="s">
        <v>74</v>
      </c>
    </row>
    <row r="194" spans="1:5" x14ac:dyDescent="0.25">
      <c r="A194" s="12" t="s">
        <v>869</v>
      </c>
      <c r="B194" s="65" t="s">
        <v>74</v>
      </c>
      <c r="D194" s="3" t="s">
        <v>1198</v>
      </c>
      <c r="E194" s="65" t="s">
        <v>74</v>
      </c>
    </row>
    <row r="195" spans="1:5" x14ac:dyDescent="0.25">
      <c r="A195" t="s">
        <v>808</v>
      </c>
      <c r="B195" s="65" t="s">
        <v>56</v>
      </c>
      <c r="D195" s="3" t="s">
        <v>808</v>
      </c>
      <c r="E195" s="65" t="s">
        <v>56</v>
      </c>
    </row>
    <row r="196" spans="1:5" x14ac:dyDescent="0.25">
      <c r="A196" t="s">
        <v>813</v>
      </c>
      <c r="B196" s="65" t="s">
        <v>74</v>
      </c>
      <c r="D196" s="3" t="s">
        <v>813</v>
      </c>
      <c r="E196" s="65" t="s">
        <v>74</v>
      </c>
    </row>
    <row r="197" spans="1:5" x14ac:dyDescent="0.25">
      <c r="A197" t="s">
        <v>819</v>
      </c>
      <c r="B197" s="65" t="s">
        <v>44</v>
      </c>
      <c r="D197" s="3" t="s">
        <v>819</v>
      </c>
      <c r="E197" s="65" t="s">
        <v>44</v>
      </c>
    </row>
    <row r="198" spans="1:5" x14ac:dyDescent="0.25">
      <c r="A198" t="s">
        <v>828</v>
      </c>
      <c r="B198" s="65" t="s">
        <v>56</v>
      </c>
      <c r="D198" s="3" t="s">
        <v>828</v>
      </c>
      <c r="E198" s="65" t="s">
        <v>56</v>
      </c>
    </row>
    <row r="199" spans="1:5" x14ac:dyDescent="0.25">
      <c r="A199" s="12" t="s">
        <v>831</v>
      </c>
      <c r="B199" s="65" t="s">
        <v>93</v>
      </c>
      <c r="D199" s="3" t="s">
        <v>1199</v>
      </c>
      <c r="E199" s="65" t="s">
        <v>93</v>
      </c>
    </row>
    <row r="200" spans="1:5" x14ac:dyDescent="0.25">
      <c r="A200" t="s">
        <v>834</v>
      </c>
      <c r="B200" s="65" t="s">
        <v>74</v>
      </c>
      <c r="D200" s="3" t="s">
        <v>834</v>
      </c>
      <c r="E200" s="65" t="s">
        <v>74</v>
      </c>
    </row>
    <row r="201" spans="1:5" x14ac:dyDescent="0.25">
      <c r="A201" t="s">
        <v>839</v>
      </c>
      <c r="B201" s="65" t="s">
        <v>56</v>
      </c>
      <c r="D201" s="3" t="s">
        <v>839</v>
      </c>
      <c r="E201" s="65" t="s">
        <v>56</v>
      </c>
    </row>
    <row r="202" spans="1:5" x14ac:dyDescent="0.25">
      <c r="A202" t="s">
        <v>845</v>
      </c>
      <c r="B202" s="65" t="s">
        <v>56</v>
      </c>
      <c r="D202" s="3" t="s">
        <v>845</v>
      </c>
      <c r="E202" s="65" t="s">
        <v>56</v>
      </c>
    </row>
    <row r="203" spans="1:5" x14ac:dyDescent="0.25">
      <c r="A203" t="s">
        <v>849</v>
      </c>
      <c r="B203" s="65" t="s">
        <v>93</v>
      </c>
      <c r="D203" s="3" t="s">
        <v>849</v>
      </c>
      <c r="E203" s="65" t="s">
        <v>93</v>
      </c>
    </row>
    <row r="204" spans="1:5" x14ac:dyDescent="0.25">
      <c r="A204" t="s">
        <v>852</v>
      </c>
      <c r="B204" s="65" t="s">
        <v>56</v>
      </c>
      <c r="D204" s="3" t="s">
        <v>852</v>
      </c>
      <c r="E204" s="65" t="s">
        <v>56</v>
      </c>
    </row>
    <row r="205" spans="1:5" x14ac:dyDescent="0.25">
      <c r="A205" t="s">
        <v>858</v>
      </c>
      <c r="B205" s="65" t="s">
        <v>44</v>
      </c>
      <c r="D205" s="3" t="s">
        <v>858</v>
      </c>
      <c r="E205" s="65" t="s">
        <v>44</v>
      </c>
    </row>
    <row r="206" spans="1:5" x14ac:dyDescent="0.25">
      <c r="A206" t="s">
        <v>864</v>
      </c>
      <c r="B206" s="65" t="s">
        <v>56</v>
      </c>
      <c r="D206" s="3" t="s">
        <v>864</v>
      </c>
      <c r="E206" s="65" t="s">
        <v>56</v>
      </c>
    </row>
    <row r="207" spans="1:5" x14ac:dyDescent="0.25">
      <c r="A207" s="12" t="s">
        <v>855</v>
      </c>
      <c r="B207" s="65" t="s">
        <v>93</v>
      </c>
      <c r="D207" s="3" t="s">
        <v>1200</v>
      </c>
      <c r="E207" s="65" t="s">
        <v>93</v>
      </c>
    </row>
    <row r="208" spans="1:5" x14ac:dyDescent="0.25">
      <c r="A208" t="s">
        <v>1176</v>
      </c>
      <c r="B208" s="65" t="s">
        <v>93</v>
      </c>
      <c r="D208" s="3" t="s">
        <v>1176</v>
      </c>
      <c r="E208" s="65" t="s">
        <v>93</v>
      </c>
    </row>
    <row r="209" spans="1:5" x14ac:dyDescent="0.25">
      <c r="A209" t="s">
        <v>1177</v>
      </c>
      <c r="B209" s="65" t="s">
        <v>93</v>
      </c>
      <c r="D209" s="3" t="s">
        <v>1177</v>
      </c>
      <c r="E209" s="65" t="s">
        <v>93</v>
      </c>
    </row>
    <row r="210" spans="1:5" x14ac:dyDescent="0.25">
      <c r="A210" t="s">
        <v>874</v>
      </c>
      <c r="B210" s="65" t="s">
        <v>93</v>
      </c>
      <c r="D210" s="3" t="s">
        <v>874</v>
      </c>
      <c r="E210" s="65" t="s">
        <v>93</v>
      </c>
    </row>
    <row r="211" spans="1:5" x14ac:dyDescent="0.25">
      <c r="A211" s="12" t="s">
        <v>684</v>
      </c>
      <c r="B211" s="65" t="s">
        <v>74</v>
      </c>
      <c r="D211" s="3" t="s">
        <v>1201</v>
      </c>
      <c r="E211" s="65" t="s">
        <v>74</v>
      </c>
    </row>
    <row r="212" spans="1:5" x14ac:dyDescent="0.25">
      <c r="A212" t="s">
        <v>878</v>
      </c>
      <c r="B212" s="65" t="s">
        <v>74</v>
      </c>
      <c r="D212" s="3" t="s">
        <v>878</v>
      </c>
      <c r="E212" s="65" t="s">
        <v>74</v>
      </c>
    </row>
    <row r="213" spans="1:5" x14ac:dyDescent="0.25">
      <c r="A213" s="13" t="s">
        <v>880</v>
      </c>
      <c r="D213" s="3" t="s">
        <v>1202</v>
      </c>
    </row>
    <row r="214" spans="1:5" x14ac:dyDescent="0.25">
      <c r="A214" t="s">
        <v>886</v>
      </c>
      <c r="B214" s="65" t="s">
        <v>74</v>
      </c>
      <c r="D214" s="3" t="s">
        <v>886</v>
      </c>
      <c r="E214" s="65" t="s">
        <v>74</v>
      </c>
    </row>
    <row r="215" spans="1:5" x14ac:dyDescent="0.25">
      <c r="A215" s="32" t="s">
        <v>1178</v>
      </c>
      <c r="B215" s="65" t="s">
        <v>93</v>
      </c>
      <c r="D215" s="3" t="s">
        <v>1178</v>
      </c>
      <c r="E215" s="65" t="s">
        <v>93</v>
      </c>
    </row>
    <row r="216" spans="1:5" x14ac:dyDescent="0.25">
      <c r="A216" s="13" t="s">
        <v>642</v>
      </c>
      <c r="B216" s="65" t="s">
        <v>74</v>
      </c>
      <c r="D216" s="3" t="s">
        <v>1203</v>
      </c>
      <c r="E216" s="65" t="s">
        <v>74</v>
      </c>
    </row>
    <row r="217" spans="1:5" x14ac:dyDescent="0.25">
      <c r="A217" s="13" t="s">
        <v>892</v>
      </c>
      <c r="B217" s="65" t="s">
        <v>44</v>
      </c>
      <c r="D217" s="3" t="s">
        <v>1204</v>
      </c>
      <c r="E217" s="65" t="s">
        <v>44</v>
      </c>
    </row>
    <row r="218" spans="1:5" x14ac:dyDescent="0.25">
      <c r="A218" t="s">
        <v>898</v>
      </c>
      <c r="B218" s="65" t="s">
        <v>74</v>
      </c>
      <c r="D218" s="3" t="s">
        <v>898</v>
      </c>
      <c r="E218" s="65" t="s">
        <v>74</v>
      </c>
    </row>
    <row r="219" spans="1:5" x14ac:dyDescent="0.25">
      <c r="A219" t="s">
        <v>904</v>
      </c>
      <c r="B219" s="65" t="s">
        <v>74</v>
      </c>
      <c r="D219" s="3" t="s">
        <v>904</v>
      </c>
      <c r="E219" s="65" t="s">
        <v>74</v>
      </c>
    </row>
  </sheetData>
  <autoFilter ref="A1:B219" xr:uid="{DCFA9350-E729-49B7-9D06-00910A2F8DCE}"/>
  <conditionalFormatting sqref="A201">
    <cfRule type="duplicateValues" dxfId="4" priority="1"/>
  </conditionalFormatting>
  <conditionalFormatting sqref="A220:A1048576">
    <cfRule type="duplicateValues" dxfId="3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A9EF-F10B-4ECE-9710-5178F46B362E}">
  <dimension ref="B2:C446"/>
  <sheetViews>
    <sheetView topLeftCell="A19" workbookViewId="0">
      <selection activeCell="G128" sqref="G128"/>
    </sheetView>
  </sheetViews>
  <sheetFormatPr defaultRowHeight="15" x14ac:dyDescent="0.25"/>
  <cols>
    <col min="2" max="2" width="47.28515625" customWidth="1"/>
  </cols>
  <sheetData>
    <row r="2" spans="2:3" x14ac:dyDescent="0.25">
      <c r="B2" t="s">
        <v>1205</v>
      </c>
      <c r="C2" t="s">
        <v>1206</v>
      </c>
    </row>
    <row r="3" spans="2:3" x14ac:dyDescent="0.25">
      <c r="B3" s="36" t="s">
        <v>36</v>
      </c>
      <c r="C3" t="s">
        <v>1207</v>
      </c>
    </row>
    <row r="4" spans="2:3" x14ac:dyDescent="0.25">
      <c r="B4" s="36" t="s">
        <v>51</v>
      </c>
      <c r="C4" t="s">
        <v>1207</v>
      </c>
    </row>
    <row r="5" spans="2:3" x14ac:dyDescent="0.25">
      <c r="B5" s="36" t="s">
        <v>62</v>
      </c>
      <c r="C5" t="s">
        <v>1207</v>
      </c>
    </row>
    <row r="6" spans="2:3" x14ac:dyDescent="0.25">
      <c r="B6" s="36" t="s">
        <v>71</v>
      </c>
      <c r="C6" t="s">
        <v>1207</v>
      </c>
    </row>
    <row r="7" spans="2:3" x14ac:dyDescent="0.25">
      <c r="B7" s="36" t="s">
        <v>81</v>
      </c>
      <c r="C7" t="s">
        <v>1207</v>
      </c>
    </row>
    <row r="8" spans="2:3" x14ac:dyDescent="0.25">
      <c r="B8" s="36" t="s">
        <v>91</v>
      </c>
      <c r="C8" t="s">
        <v>1207</v>
      </c>
    </row>
    <row r="9" spans="2:3" x14ac:dyDescent="0.25">
      <c r="B9" s="36" t="s">
        <v>95</v>
      </c>
      <c r="C9" t="s">
        <v>1207</v>
      </c>
    </row>
    <row r="10" spans="2:3" x14ac:dyDescent="0.25">
      <c r="B10" s="36" t="s">
        <v>102</v>
      </c>
      <c r="C10" t="s">
        <v>1207</v>
      </c>
    </row>
    <row r="11" spans="2:3" x14ac:dyDescent="0.25">
      <c r="B11" s="36" t="s">
        <v>110</v>
      </c>
      <c r="C11" t="s">
        <v>1207</v>
      </c>
    </row>
    <row r="12" spans="2:3" x14ac:dyDescent="0.25">
      <c r="B12" s="36" t="s">
        <v>114</v>
      </c>
      <c r="C12" t="s">
        <v>1207</v>
      </c>
    </row>
    <row r="13" spans="2:3" x14ac:dyDescent="0.25">
      <c r="B13" s="36" t="s">
        <v>119</v>
      </c>
      <c r="C13" t="s">
        <v>1207</v>
      </c>
    </row>
    <row r="14" spans="2:3" x14ac:dyDescent="0.25">
      <c r="B14" s="49" t="s">
        <v>82</v>
      </c>
      <c r="C14" t="s">
        <v>1207</v>
      </c>
    </row>
    <row r="15" spans="2:3" x14ac:dyDescent="0.25">
      <c r="B15" s="36" t="s">
        <v>82</v>
      </c>
      <c r="C15" t="s">
        <v>1207</v>
      </c>
    </row>
    <row r="16" spans="2:3" x14ac:dyDescent="0.25">
      <c r="B16" s="36" t="s">
        <v>130</v>
      </c>
      <c r="C16" t="s">
        <v>1207</v>
      </c>
    </row>
    <row r="17" spans="2:3" x14ac:dyDescent="0.25">
      <c r="B17" s="36" t="s">
        <v>137</v>
      </c>
      <c r="C17" t="s">
        <v>1207</v>
      </c>
    </row>
    <row r="18" spans="2:3" x14ac:dyDescent="0.25">
      <c r="B18" s="36" t="s">
        <v>144</v>
      </c>
      <c r="C18" t="s">
        <v>1207</v>
      </c>
    </row>
    <row r="19" spans="2:3" x14ac:dyDescent="0.25">
      <c r="B19" s="36" t="s">
        <v>152</v>
      </c>
      <c r="C19" t="s">
        <v>1207</v>
      </c>
    </row>
    <row r="20" spans="2:3" x14ac:dyDescent="0.25">
      <c r="B20" s="36" t="s">
        <v>158</v>
      </c>
      <c r="C20" t="s">
        <v>1207</v>
      </c>
    </row>
    <row r="21" spans="2:3" x14ac:dyDescent="0.25">
      <c r="B21" s="36" t="s">
        <v>165</v>
      </c>
      <c r="C21" t="s">
        <v>1207</v>
      </c>
    </row>
    <row r="22" spans="2:3" x14ac:dyDescent="0.25">
      <c r="B22" s="36" t="s">
        <v>171</v>
      </c>
      <c r="C22" t="s">
        <v>1207</v>
      </c>
    </row>
    <row r="23" spans="2:3" x14ac:dyDescent="0.25">
      <c r="B23" s="36" t="s">
        <v>178</v>
      </c>
      <c r="C23" t="s">
        <v>1207</v>
      </c>
    </row>
    <row r="24" spans="2:3" x14ac:dyDescent="0.25">
      <c r="B24" s="36" t="s">
        <v>185</v>
      </c>
      <c r="C24" t="s">
        <v>1207</v>
      </c>
    </row>
    <row r="25" spans="2:3" x14ac:dyDescent="0.25">
      <c r="B25" s="36" t="s">
        <v>188</v>
      </c>
      <c r="C25" t="s">
        <v>1207</v>
      </c>
    </row>
    <row r="26" spans="2:3" x14ac:dyDescent="0.25">
      <c r="B26" s="36" t="s">
        <v>195</v>
      </c>
      <c r="C26" t="s">
        <v>1207</v>
      </c>
    </row>
    <row r="27" spans="2:3" x14ac:dyDescent="0.25">
      <c r="B27" s="36" t="s">
        <v>201</v>
      </c>
      <c r="C27" t="s">
        <v>1207</v>
      </c>
    </row>
    <row r="28" spans="2:3" x14ac:dyDescent="0.25">
      <c r="B28" s="36" t="s">
        <v>210</v>
      </c>
      <c r="C28" t="s">
        <v>1207</v>
      </c>
    </row>
    <row r="29" spans="2:3" x14ac:dyDescent="0.25">
      <c r="B29" s="36" t="s">
        <v>213</v>
      </c>
      <c r="C29" t="s">
        <v>1207</v>
      </c>
    </row>
    <row r="30" spans="2:3" x14ac:dyDescent="0.25">
      <c r="B30" s="36" t="s">
        <v>222</v>
      </c>
      <c r="C30" t="s">
        <v>1207</v>
      </c>
    </row>
    <row r="31" spans="2:3" x14ac:dyDescent="0.25">
      <c r="B31" s="36" t="s">
        <v>229</v>
      </c>
      <c r="C31" t="s">
        <v>1207</v>
      </c>
    </row>
    <row r="32" spans="2:3" x14ac:dyDescent="0.25">
      <c r="B32" s="36" t="s">
        <v>236</v>
      </c>
      <c r="C32" t="s">
        <v>1207</v>
      </c>
    </row>
    <row r="33" spans="2:3" x14ac:dyDescent="0.25">
      <c r="B33" s="36" t="s">
        <v>242</v>
      </c>
      <c r="C33" t="s">
        <v>1207</v>
      </c>
    </row>
    <row r="34" spans="2:3" x14ac:dyDescent="0.25">
      <c r="B34" s="36" t="s">
        <v>248</v>
      </c>
      <c r="C34" t="s">
        <v>1207</v>
      </c>
    </row>
    <row r="35" spans="2:3" x14ac:dyDescent="0.25">
      <c r="B35" s="36" t="s">
        <v>255</v>
      </c>
      <c r="C35" t="s">
        <v>1207</v>
      </c>
    </row>
    <row r="36" spans="2:3" x14ac:dyDescent="0.25">
      <c r="B36" s="36" t="s">
        <v>260</v>
      </c>
      <c r="C36" t="s">
        <v>1207</v>
      </c>
    </row>
    <row r="37" spans="2:3" x14ac:dyDescent="0.25">
      <c r="B37" s="36" t="s">
        <v>266</v>
      </c>
      <c r="C37" t="s">
        <v>1207</v>
      </c>
    </row>
    <row r="38" spans="2:3" x14ac:dyDescent="0.25">
      <c r="B38" s="36" t="s">
        <v>273</v>
      </c>
      <c r="C38" t="s">
        <v>1207</v>
      </c>
    </row>
    <row r="39" spans="2:3" x14ac:dyDescent="0.25">
      <c r="B39" s="36" t="s">
        <v>277</v>
      </c>
      <c r="C39" t="s">
        <v>1207</v>
      </c>
    </row>
    <row r="40" spans="2:3" x14ac:dyDescent="0.25">
      <c r="B40" s="36" t="s">
        <v>283</v>
      </c>
      <c r="C40" t="s">
        <v>1207</v>
      </c>
    </row>
    <row r="41" spans="2:3" x14ac:dyDescent="0.25">
      <c r="B41" s="36" t="s">
        <v>287</v>
      </c>
      <c r="C41" t="s">
        <v>1207</v>
      </c>
    </row>
    <row r="42" spans="2:3" x14ac:dyDescent="0.25">
      <c r="B42" s="36" t="s">
        <v>293</v>
      </c>
      <c r="C42" t="s">
        <v>1207</v>
      </c>
    </row>
    <row r="43" spans="2:3" x14ac:dyDescent="0.25">
      <c r="B43" s="36" t="s">
        <v>300</v>
      </c>
      <c r="C43" t="s">
        <v>1207</v>
      </c>
    </row>
    <row r="44" spans="2:3" x14ac:dyDescent="0.25">
      <c r="B44" s="36" t="s">
        <v>306</v>
      </c>
      <c r="C44" t="s">
        <v>1207</v>
      </c>
    </row>
    <row r="45" spans="2:3" x14ac:dyDescent="0.25">
      <c r="B45" s="36" t="s">
        <v>309</v>
      </c>
      <c r="C45" t="s">
        <v>1207</v>
      </c>
    </row>
    <row r="46" spans="2:3" x14ac:dyDescent="0.25">
      <c r="B46" s="36" t="s">
        <v>315</v>
      </c>
      <c r="C46" t="s">
        <v>1207</v>
      </c>
    </row>
    <row r="47" spans="2:3" x14ac:dyDescent="0.25">
      <c r="B47" s="36" t="s">
        <v>321</v>
      </c>
      <c r="C47" t="s">
        <v>1207</v>
      </c>
    </row>
    <row r="48" spans="2:3" x14ac:dyDescent="0.25">
      <c r="B48" s="36" t="s">
        <v>327</v>
      </c>
      <c r="C48" t="s">
        <v>1207</v>
      </c>
    </row>
    <row r="49" spans="2:3" x14ac:dyDescent="0.25">
      <c r="B49" s="36" t="s">
        <v>333</v>
      </c>
      <c r="C49" t="s">
        <v>1207</v>
      </c>
    </row>
    <row r="50" spans="2:3" x14ac:dyDescent="0.25">
      <c r="B50" s="36" t="s">
        <v>339</v>
      </c>
      <c r="C50" t="s">
        <v>1207</v>
      </c>
    </row>
    <row r="51" spans="2:3" x14ac:dyDescent="0.25">
      <c r="B51" s="36" t="s">
        <v>344</v>
      </c>
      <c r="C51" t="s">
        <v>1207</v>
      </c>
    </row>
    <row r="52" spans="2:3" x14ac:dyDescent="0.25">
      <c r="B52" s="36" t="s">
        <v>350</v>
      </c>
      <c r="C52" t="s">
        <v>1207</v>
      </c>
    </row>
    <row r="53" spans="2:3" x14ac:dyDescent="0.25">
      <c r="B53" s="36" t="s">
        <v>355</v>
      </c>
      <c r="C53" t="s">
        <v>1207</v>
      </c>
    </row>
    <row r="54" spans="2:3" x14ac:dyDescent="0.25">
      <c r="B54" s="49" t="s">
        <v>267</v>
      </c>
      <c r="C54" t="s">
        <v>1207</v>
      </c>
    </row>
    <row r="55" spans="2:3" x14ac:dyDescent="0.25">
      <c r="B55" s="36" t="s">
        <v>267</v>
      </c>
      <c r="C55" t="s">
        <v>1207</v>
      </c>
    </row>
    <row r="56" spans="2:3" x14ac:dyDescent="0.25">
      <c r="B56" s="36" t="s">
        <v>368</v>
      </c>
      <c r="C56" t="s">
        <v>1207</v>
      </c>
    </row>
    <row r="57" spans="2:3" x14ac:dyDescent="0.25">
      <c r="B57" s="36" t="s">
        <v>372</v>
      </c>
      <c r="C57" t="s">
        <v>1207</v>
      </c>
    </row>
    <row r="58" spans="2:3" x14ac:dyDescent="0.25">
      <c r="B58" s="36" t="s">
        <v>378</v>
      </c>
      <c r="C58" t="s">
        <v>1207</v>
      </c>
    </row>
    <row r="59" spans="2:3" x14ac:dyDescent="0.25">
      <c r="B59" s="36" t="s">
        <v>383</v>
      </c>
      <c r="C59" t="s">
        <v>1207</v>
      </c>
    </row>
    <row r="60" spans="2:3" x14ac:dyDescent="0.25">
      <c r="B60" s="36" t="s">
        <v>389</v>
      </c>
      <c r="C60" t="s">
        <v>1207</v>
      </c>
    </row>
    <row r="61" spans="2:3" x14ac:dyDescent="0.25">
      <c r="B61" s="36" t="s">
        <v>393</v>
      </c>
      <c r="C61" t="s">
        <v>1207</v>
      </c>
    </row>
    <row r="62" spans="2:3" x14ac:dyDescent="0.25">
      <c r="B62" s="36" t="s">
        <v>396</v>
      </c>
      <c r="C62" t="s">
        <v>1207</v>
      </c>
    </row>
    <row r="63" spans="2:3" x14ac:dyDescent="0.25">
      <c r="B63" s="36" t="s">
        <v>402</v>
      </c>
      <c r="C63" t="s">
        <v>1207</v>
      </c>
    </row>
    <row r="64" spans="2:3" x14ac:dyDescent="0.25">
      <c r="B64" s="36" t="s">
        <v>408</v>
      </c>
      <c r="C64" t="s">
        <v>1207</v>
      </c>
    </row>
    <row r="65" spans="2:3" x14ac:dyDescent="0.25">
      <c r="B65" s="49" t="s">
        <v>413</v>
      </c>
      <c r="C65" t="s">
        <v>1207</v>
      </c>
    </row>
    <row r="66" spans="2:3" x14ac:dyDescent="0.25">
      <c r="B66" s="36" t="s">
        <v>413</v>
      </c>
      <c r="C66" t="s">
        <v>1207</v>
      </c>
    </row>
    <row r="67" spans="2:3" x14ac:dyDescent="0.25">
      <c r="B67" s="36" t="s">
        <v>419</v>
      </c>
      <c r="C67" t="s">
        <v>1207</v>
      </c>
    </row>
    <row r="68" spans="2:3" x14ac:dyDescent="0.25">
      <c r="B68" s="36" t="s">
        <v>425</v>
      </c>
      <c r="C68" t="s">
        <v>1207</v>
      </c>
    </row>
    <row r="69" spans="2:3" x14ac:dyDescent="0.25">
      <c r="B69" s="36" t="s">
        <v>431</v>
      </c>
      <c r="C69" t="s">
        <v>1207</v>
      </c>
    </row>
    <row r="70" spans="2:3" x14ac:dyDescent="0.25">
      <c r="B70" s="36" t="s">
        <v>437</v>
      </c>
      <c r="C70" t="s">
        <v>1207</v>
      </c>
    </row>
    <row r="71" spans="2:3" x14ac:dyDescent="0.25">
      <c r="B71" s="36" t="s">
        <v>443</v>
      </c>
      <c r="C71" t="s">
        <v>1207</v>
      </c>
    </row>
    <row r="72" spans="2:3" x14ac:dyDescent="0.25">
      <c r="B72" s="36" t="s">
        <v>449</v>
      </c>
      <c r="C72" t="s">
        <v>1207</v>
      </c>
    </row>
    <row r="73" spans="2:3" x14ac:dyDescent="0.25">
      <c r="B73" s="36" t="s">
        <v>455</v>
      </c>
      <c r="C73" t="s">
        <v>1207</v>
      </c>
    </row>
    <row r="74" spans="2:3" x14ac:dyDescent="0.25">
      <c r="B74" s="36" t="s">
        <v>460</v>
      </c>
      <c r="C74" t="s">
        <v>1207</v>
      </c>
    </row>
    <row r="75" spans="2:3" x14ac:dyDescent="0.25">
      <c r="B75" s="36" t="s">
        <v>466</v>
      </c>
      <c r="C75" t="s">
        <v>1207</v>
      </c>
    </row>
    <row r="76" spans="2:3" x14ac:dyDescent="0.25">
      <c r="B76" s="36" t="s">
        <v>472</v>
      </c>
      <c r="C76" t="s">
        <v>1207</v>
      </c>
    </row>
    <row r="77" spans="2:3" x14ac:dyDescent="0.25">
      <c r="B77" s="36" t="s">
        <v>478</v>
      </c>
      <c r="C77" t="s">
        <v>1207</v>
      </c>
    </row>
    <row r="78" spans="2:3" x14ac:dyDescent="0.25">
      <c r="B78" s="36" t="s">
        <v>482</v>
      </c>
      <c r="C78" t="s">
        <v>1207</v>
      </c>
    </row>
    <row r="79" spans="2:3" x14ac:dyDescent="0.25">
      <c r="B79" s="36" t="s">
        <v>487</v>
      </c>
      <c r="C79" t="s">
        <v>1207</v>
      </c>
    </row>
    <row r="80" spans="2:3" x14ac:dyDescent="0.25">
      <c r="B80" s="36" t="s">
        <v>490</v>
      </c>
      <c r="C80" t="s">
        <v>1207</v>
      </c>
    </row>
    <row r="81" spans="2:3" x14ac:dyDescent="0.25">
      <c r="B81" s="36" t="s">
        <v>496</v>
      </c>
      <c r="C81" t="s">
        <v>1207</v>
      </c>
    </row>
    <row r="82" spans="2:3" x14ac:dyDescent="0.25">
      <c r="B82" s="36" t="s">
        <v>502</v>
      </c>
      <c r="C82" t="s">
        <v>1207</v>
      </c>
    </row>
    <row r="83" spans="2:3" x14ac:dyDescent="0.25">
      <c r="B83" s="36" t="s">
        <v>508</v>
      </c>
      <c r="C83" t="s">
        <v>1207</v>
      </c>
    </row>
    <row r="84" spans="2:3" x14ac:dyDescent="0.25">
      <c r="B84" s="36" t="s">
        <v>513</v>
      </c>
      <c r="C84" t="s">
        <v>1207</v>
      </c>
    </row>
    <row r="85" spans="2:3" x14ac:dyDescent="0.25">
      <c r="B85" s="36" t="s">
        <v>519</v>
      </c>
      <c r="C85" t="s">
        <v>1207</v>
      </c>
    </row>
    <row r="86" spans="2:3" x14ac:dyDescent="0.25">
      <c r="B86" s="36" t="s">
        <v>525</v>
      </c>
      <c r="C86" t="s">
        <v>1207</v>
      </c>
    </row>
    <row r="87" spans="2:3" x14ac:dyDescent="0.25">
      <c r="B87" s="36" t="s">
        <v>531</v>
      </c>
      <c r="C87" t="s">
        <v>1207</v>
      </c>
    </row>
    <row r="88" spans="2:3" x14ac:dyDescent="0.25">
      <c r="B88" s="36" t="s">
        <v>535</v>
      </c>
      <c r="C88" t="s">
        <v>1207</v>
      </c>
    </row>
    <row r="89" spans="2:3" x14ac:dyDescent="0.25">
      <c r="B89" s="36" t="s">
        <v>540</v>
      </c>
      <c r="C89" t="s">
        <v>1207</v>
      </c>
    </row>
    <row r="90" spans="2:3" x14ac:dyDescent="0.25">
      <c r="B90" s="36" t="s">
        <v>546</v>
      </c>
      <c r="C90" t="s">
        <v>1207</v>
      </c>
    </row>
    <row r="91" spans="2:3" x14ac:dyDescent="0.25">
      <c r="B91" s="36" t="s">
        <v>549</v>
      </c>
      <c r="C91" t="s">
        <v>1207</v>
      </c>
    </row>
    <row r="92" spans="2:3" x14ac:dyDescent="0.25">
      <c r="B92" s="36" t="s">
        <v>555</v>
      </c>
      <c r="C92" t="s">
        <v>1207</v>
      </c>
    </row>
    <row r="93" spans="2:3" x14ac:dyDescent="0.25">
      <c r="B93" s="36" t="s">
        <v>480</v>
      </c>
      <c r="C93" t="s">
        <v>1207</v>
      </c>
    </row>
    <row r="94" spans="2:3" x14ac:dyDescent="0.25">
      <c r="B94" s="36" t="s">
        <v>563</v>
      </c>
      <c r="C94" t="s">
        <v>1207</v>
      </c>
    </row>
    <row r="95" spans="2:3" x14ac:dyDescent="0.25">
      <c r="B95" s="36" t="s">
        <v>569</v>
      </c>
      <c r="C95" t="s">
        <v>1207</v>
      </c>
    </row>
    <row r="96" spans="2:3" x14ac:dyDescent="0.25">
      <c r="B96" s="36" t="s">
        <v>574</v>
      </c>
      <c r="C96" t="s">
        <v>1207</v>
      </c>
    </row>
    <row r="97" spans="2:3" x14ac:dyDescent="0.25">
      <c r="B97" s="36" t="s">
        <v>577</v>
      </c>
      <c r="C97" t="s">
        <v>1207</v>
      </c>
    </row>
    <row r="98" spans="2:3" x14ac:dyDescent="0.25">
      <c r="B98" s="36" t="s">
        <v>583</v>
      </c>
      <c r="C98" t="s">
        <v>1207</v>
      </c>
    </row>
    <row r="99" spans="2:3" x14ac:dyDescent="0.25">
      <c r="B99" s="36" t="s">
        <v>590</v>
      </c>
      <c r="C99" t="s">
        <v>1207</v>
      </c>
    </row>
    <row r="100" spans="2:3" x14ac:dyDescent="0.25">
      <c r="B100" s="36" t="s">
        <v>596</v>
      </c>
      <c r="C100" t="s">
        <v>1207</v>
      </c>
    </row>
    <row r="101" spans="2:3" x14ac:dyDescent="0.25">
      <c r="B101" s="36" t="s">
        <v>599</v>
      </c>
      <c r="C101" t="s">
        <v>1207</v>
      </c>
    </row>
    <row r="102" spans="2:3" x14ac:dyDescent="0.25">
      <c r="B102" s="36" t="s">
        <v>605</v>
      </c>
      <c r="C102" t="s">
        <v>1207</v>
      </c>
    </row>
    <row r="103" spans="2:3" x14ac:dyDescent="0.25">
      <c r="B103" s="36" t="s">
        <v>610</v>
      </c>
      <c r="C103" t="s">
        <v>1207</v>
      </c>
    </row>
    <row r="104" spans="2:3" x14ac:dyDescent="0.25">
      <c r="B104" s="36" t="s">
        <v>616</v>
      </c>
      <c r="C104" t="s">
        <v>1207</v>
      </c>
    </row>
    <row r="105" spans="2:3" x14ac:dyDescent="0.25">
      <c r="B105" s="36" t="s">
        <v>622</v>
      </c>
      <c r="C105" t="s">
        <v>1207</v>
      </c>
    </row>
    <row r="106" spans="2:3" x14ac:dyDescent="0.25">
      <c r="B106" s="36" t="s">
        <v>625</v>
      </c>
      <c r="C106" t="s">
        <v>1207</v>
      </c>
    </row>
    <row r="107" spans="2:3" x14ac:dyDescent="0.25">
      <c r="B107" s="36" t="s">
        <v>629</v>
      </c>
      <c r="C107" t="s">
        <v>1207</v>
      </c>
    </row>
    <row r="108" spans="2:3" x14ac:dyDescent="0.25">
      <c r="B108" s="36" t="s">
        <v>633</v>
      </c>
      <c r="C108" t="s">
        <v>1207</v>
      </c>
    </row>
    <row r="109" spans="2:3" x14ac:dyDescent="0.25">
      <c r="B109" s="36" t="s">
        <v>639</v>
      </c>
      <c r="C109" t="s">
        <v>1207</v>
      </c>
    </row>
    <row r="110" spans="2:3" x14ac:dyDescent="0.25">
      <c r="B110" s="36" t="s">
        <v>642</v>
      </c>
      <c r="C110" t="s">
        <v>1207</v>
      </c>
    </row>
    <row r="111" spans="2:3" x14ac:dyDescent="0.25">
      <c r="B111" s="36" t="s">
        <v>648</v>
      </c>
      <c r="C111" t="s">
        <v>1207</v>
      </c>
    </row>
    <row r="112" spans="2:3" x14ac:dyDescent="0.25">
      <c r="B112" s="36" t="s">
        <v>654</v>
      </c>
      <c r="C112" t="s">
        <v>1207</v>
      </c>
    </row>
    <row r="113" spans="2:3" x14ac:dyDescent="0.25">
      <c r="B113" s="36" t="s">
        <v>660</v>
      </c>
      <c r="C113" t="s">
        <v>1207</v>
      </c>
    </row>
    <row r="114" spans="2:3" x14ac:dyDescent="0.25">
      <c r="B114" s="36" t="s">
        <v>665</v>
      </c>
      <c r="C114" t="s">
        <v>1207</v>
      </c>
    </row>
    <row r="115" spans="2:3" x14ac:dyDescent="0.25">
      <c r="B115" s="36" t="s">
        <v>671</v>
      </c>
      <c r="C115" t="s">
        <v>1207</v>
      </c>
    </row>
    <row r="116" spans="2:3" x14ac:dyDescent="0.25">
      <c r="B116" s="36" t="s">
        <v>676</v>
      </c>
      <c r="C116" t="s">
        <v>1207</v>
      </c>
    </row>
    <row r="117" spans="2:3" x14ac:dyDescent="0.25">
      <c r="B117" s="36" t="s">
        <v>681</v>
      </c>
      <c r="C117" t="s">
        <v>1207</v>
      </c>
    </row>
    <row r="118" spans="2:3" x14ac:dyDescent="0.25">
      <c r="B118" s="36" t="s">
        <v>684</v>
      </c>
      <c r="C118" t="s">
        <v>1207</v>
      </c>
    </row>
    <row r="119" spans="2:3" x14ac:dyDescent="0.25">
      <c r="B119" s="36" t="s">
        <v>690</v>
      </c>
      <c r="C119" t="s">
        <v>1207</v>
      </c>
    </row>
    <row r="120" spans="2:3" x14ac:dyDescent="0.25">
      <c r="B120" s="36" t="s">
        <v>696</v>
      </c>
      <c r="C120" t="s">
        <v>1207</v>
      </c>
    </row>
    <row r="121" spans="2:3" x14ac:dyDescent="0.25">
      <c r="B121" s="36" t="s">
        <v>701</v>
      </c>
      <c r="C121" t="s">
        <v>1207</v>
      </c>
    </row>
    <row r="122" spans="2:3" x14ac:dyDescent="0.25">
      <c r="B122" s="36" t="s">
        <v>706</v>
      </c>
      <c r="C122" t="s">
        <v>1207</v>
      </c>
    </row>
    <row r="123" spans="2:3" x14ac:dyDescent="0.25">
      <c r="B123" s="36" t="s">
        <v>712</v>
      </c>
      <c r="C123" t="s">
        <v>1207</v>
      </c>
    </row>
    <row r="124" spans="2:3" x14ac:dyDescent="0.25">
      <c r="B124" s="36" t="s">
        <v>718</v>
      </c>
      <c r="C124" t="s">
        <v>1207</v>
      </c>
    </row>
    <row r="125" spans="2:3" x14ac:dyDescent="0.25">
      <c r="B125" s="36" t="s">
        <v>724</v>
      </c>
      <c r="C125" t="s">
        <v>1207</v>
      </c>
    </row>
    <row r="126" spans="2:3" x14ac:dyDescent="0.25">
      <c r="B126" s="36" t="s">
        <v>727</v>
      </c>
      <c r="C126" t="s">
        <v>1207</v>
      </c>
    </row>
    <row r="127" spans="2:3" x14ac:dyDescent="0.25">
      <c r="B127" s="49" t="s">
        <v>115</v>
      </c>
      <c r="C127" t="s">
        <v>1207</v>
      </c>
    </row>
    <row r="128" spans="2:3" x14ac:dyDescent="0.25">
      <c r="B128" s="36" t="s">
        <v>115</v>
      </c>
      <c r="C128" t="s">
        <v>1207</v>
      </c>
    </row>
    <row r="129" spans="2:3" x14ac:dyDescent="0.25">
      <c r="B129" s="36" t="s">
        <v>736</v>
      </c>
      <c r="C129" t="s">
        <v>1207</v>
      </c>
    </row>
    <row r="130" spans="2:3" x14ac:dyDescent="0.25">
      <c r="B130" s="36" t="s">
        <v>741</v>
      </c>
      <c r="C130" t="s">
        <v>1207</v>
      </c>
    </row>
    <row r="131" spans="2:3" x14ac:dyDescent="0.25">
      <c r="B131" s="36" t="s">
        <v>746</v>
      </c>
      <c r="C131" t="s">
        <v>1207</v>
      </c>
    </row>
    <row r="132" spans="2:3" x14ac:dyDescent="0.25">
      <c r="B132" s="36" t="s">
        <v>752</v>
      </c>
      <c r="C132" t="s">
        <v>1207</v>
      </c>
    </row>
    <row r="133" spans="2:3" x14ac:dyDescent="0.25">
      <c r="B133" s="36" t="s">
        <v>755</v>
      </c>
      <c r="C133" t="s">
        <v>1207</v>
      </c>
    </row>
    <row r="134" spans="2:3" x14ac:dyDescent="0.25">
      <c r="B134" s="36" t="s">
        <v>761</v>
      </c>
      <c r="C134" t="s">
        <v>1207</v>
      </c>
    </row>
    <row r="135" spans="2:3" x14ac:dyDescent="0.25">
      <c r="B135" s="36" t="s">
        <v>766</v>
      </c>
      <c r="C135" t="s">
        <v>1207</v>
      </c>
    </row>
    <row r="136" spans="2:3" x14ac:dyDescent="0.25">
      <c r="B136" s="36" t="s">
        <v>772</v>
      </c>
      <c r="C136" t="s">
        <v>1207</v>
      </c>
    </row>
    <row r="137" spans="2:3" x14ac:dyDescent="0.25">
      <c r="B137" s="36" t="s">
        <v>779</v>
      </c>
      <c r="C137" t="s">
        <v>1207</v>
      </c>
    </row>
    <row r="138" spans="2:3" x14ac:dyDescent="0.25">
      <c r="B138" s="36" t="s">
        <v>782</v>
      </c>
      <c r="C138" t="s">
        <v>1207</v>
      </c>
    </row>
    <row r="139" spans="2:3" x14ac:dyDescent="0.25">
      <c r="B139" s="36" t="s">
        <v>785</v>
      </c>
      <c r="C139" t="s">
        <v>1207</v>
      </c>
    </row>
    <row r="140" spans="2:3" x14ac:dyDescent="0.25">
      <c r="B140" s="36" t="s">
        <v>788</v>
      </c>
      <c r="C140" t="s">
        <v>1207</v>
      </c>
    </row>
    <row r="141" spans="2:3" x14ac:dyDescent="0.25">
      <c r="B141" s="36" t="s">
        <v>794</v>
      </c>
      <c r="C141" t="s">
        <v>1207</v>
      </c>
    </row>
    <row r="142" spans="2:3" x14ac:dyDescent="0.25">
      <c r="B142" s="36" t="s">
        <v>797</v>
      </c>
      <c r="C142" t="s">
        <v>1207</v>
      </c>
    </row>
    <row r="143" spans="2:3" x14ac:dyDescent="0.25">
      <c r="B143" s="36" t="s">
        <v>803</v>
      </c>
      <c r="C143" t="s">
        <v>1207</v>
      </c>
    </row>
    <row r="144" spans="2:3" x14ac:dyDescent="0.25">
      <c r="B144" s="36" t="s">
        <v>808</v>
      </c>
      <c r="C144" t="s">
        <v>1207</v>
      </c>
    </row>
    <row r="145" spans="2:3" x14ac:dyDescent="0.25">
      <c r="B145" s="36" t="s">
        <v>813</v>
      </c>
      <c r="C145" t="s">
        <v>1207</v>
      </c>
    </row>
    <row r="146" spans="2:3" x14ac:dyDescent="0.25">
      <c r="B146" s="36" t="s">
        <v>819</v>
      </c>
      <c r="C146" t="s">
        <v>1207</v>
      </c>
    </row>
    <row r="147" spans="2:3" x14ac:dyDescent="0.25">
      <c r="B147" s="36" t="s">
        <v>825</v>
      </c>
      <c r="C147" t="s">
        <v>1207</v>
      </c>
    </row>
    <row r="148" spans="2:3" x14ac:dyDescent="0.25">
      <c r="B148" s="36" t="s">
        <v>828</v>
      </c>
      <c r="C148" t="s">
        <v>1207</v>
      </c>
    </row>
    <row r="149" spans="2:3" x14ac:dyDescent="0.25">
      <c r="B149" s="36" t="s">
        <v>831</v>
      </c>
      <c r="C149" t="s">
        <v>1207</v>
      </c>
    </row>
    <row r="150" spans="2:3" x14ac:dyDescent="0.25">
      <c r="B150" s="36" t="s">
        <v>834</v>
      </c>
      <c r="C150" t="s">
        <v>1207</v>
      </c>
    </row>
    <row r="151" spans="2:3" x14ac:dyDescent="0.25">
      <c r="B151" t="s">
        <v>839</v>
      </c>
      <c r="C151" t="s">
        <v>1207</v>
      </c>
    </row>
    <row r="152" spans="2:3" x14ac:dyDescent="0.25">
      <c r="B152" s="36" t="s">
        <v>845</v>
      </c>
      <c r="C152" t="s">
        <v>1207</v>
      </c>
    </row>
    <row r="153" spans="2:3" x14ac:dyDescent="0.25">
      <c r="B153" s="36" t="s">
        <v>849</v>
      </c>
      <c r="C153" t="s">
        <v>1207</v>
      </c>
    </row>
    <row r="154" spans="2:3" x14ac:dyDescent="0.25">
      <c r="B154" s="36" t="s">
        <v>852</v>
      </c>
      <c r="C154" t="s">
        <v>1207</v>
      </c>
    </row>
    <row r="155" spans="2:3" x14ac:dyDescent="0.25">
      <c r="B155" s="36" t="s">
        <v>855</v>
      </c>
      <c r="C155" t="s">
        <v>1207</v>
      </c>
    </row>
    <row r="156" spans="2:3" x14ac:dyDescent="0.25">
      <c r="B156" s="36" t="s">
        <v>858</v>
      </c>
      <c r="C156" t="s">
        <v>1207</v>
      </c>
    </row>
    <row r="157" spans="2:3" x14ac:dyDescent="0.25">
      <c r="B157" s="36" t="s">
        <v>864</v>
      </c>
      <c r="C157" t="s">
        <v>1207</v>
      </c>
    </row>
    <row r="158" spans="2:3" x14ac:dyDescent="0.25">
      <c r="B158" s="36" t="s">
        <v>869</v>
      </c>
      <c r="C158" t="s">
        <v>1207</v>
      </c>
    </row>
    <row r="159" spans="2:3" x14ac:dyDescent="0.25">
      <c r="B159" s="36" t="s">
        <v>874</v>
      </c>
      <c r="C159" t="s">
        <v>1207</v>
      </c>
    </row>
    <row r="160" spans="2:3" x14ac:dyDescent="0.25">
      <c r="B160" s="36" t="s">
        <v>878</v>
      </c>
      <c r="C160" t="s">
        <v>1207</v>
      </c>
    </row>
    <row r="161" spans="2:3" x14ac:dyDescent="0.25">
      <c r="B161" s="36" t="s">
        <v>880</v>
      </c>
      <c r="C161" t="s">
        <v>1207</v>
      </c>
    </row>
    <row r="162" spans="2:3" x14ac:dyDescent="0.25">
      <c r="B162" s="36" t="s">
        <v>886</v>
      </c>
      <c r="C162" t="s">
        <v>1207</v>
      </c>
    </row>
    <row r="163" spans="2:3" x14ac:dyDescent="0.25">
      <c r="B163" s="36" t="s">
        <v>892</v>
      </c>
      <c r="C163" t="s">
        <v>1207</v>
      </c>
    </row>
    <row r="164" spans="2:3" x14ac:dyDescent="0.25">
      <c r="B164" s="36" t="s">
        <v>898</v>
      </c>
      <c r="C164" t="s">
        <v>1207</v>
      </c>
    </row>
    <row r="165" spans="2:3" x14ac:dyDescent="0.25">
      <c r="B165" s="36" t="s">
        <v>904</v>
      </c>
      <c r="C165" t="s">
        <v>1207</v>
      </c>
    </row>
    <row r="166" spans="2:3" x14ac:dyDescent="0.25">
      <c r="B166" s="56" t="s">
        <v>1208</v>
      </c>
      <c r="C166" t="s">
        <v>1209</v>
      </c>
    </row>
    <row r="167" spans="2:3" x14ac:dyDescent="0.25">
      <c r="B167" s="59" t="s">
        <v>36</v>
      </c>
      <c r="C167" t="s">
        <v>1209</v>
      </c>
    </row>
    <row r="168" spans="2:3" x14ac:dyDescent="0.25">
      <c r="B168" s="63" t="s">
        <v>1210</v>
      </c>
      <c r="C168" t="s">
        <v>1209</v>
      </c>
    </row>
    <row r="169" spans="2:3" x14ac:dyDescent="0.25">
      <c r="B169" s="59" t="s">
        <v>1211</v>
      </c>
      <c r="C169" t="s">
        <v>1209</v>
      </c>
    </row>
    <row r="170" spans="2:3" x14ac:dyDescent="0.25">
      <c r="B170" s="56" t="s">
        <v>1212</v>
      </c>
      <c r="C170" t="s">
        <v>1209</v>
      </c>
    </row>
    <row r="171" spans="2:3" x14ac:dyDescent="0.25">
      <c r="B171" s="59" t="s">
        <v>51</v>
      </c>
      <c r="C171" t="s">
        <v>1209</v>
      </c>
    </row>
    <row r="172" spans="2:3" x14ac:dyDescent="0.25">
      <c r="B172" s="56" t="s">
        <v>62</v>
      </c>
      <c r="C172" t="s">
        <v>1209</v>
      </c>
    </row>
    <row r="173" spans="2:3" x14ac:dyDescent="0.25">
      <c r="B173" s="59" t="s">
        <v>1115</v>
      </c>
      <c r="C173" t="s">
        <v>1209</v>
      </c>
    </row>
    <row r="174" spans="2:3" x14ac:dyDescent="0.25">
      <c r="B174" s="56" t="s">
        <v>1116</v>
      </c>
      <c r="C174" t="s">
        <v>1209</v>
      </c>
    </row>
    <row r="175" spans="2:3" x14ac:dyDescent="0.25">
      <c r="B175" s="59" t="s">
        <v>71</v>
      </c>
      <c r="C175" t="s">
        <v>1209</v>
      </c>
    </row>
    <row r="176" spans="2:3" x14ac:dyDescent="0.25">
      <c r="B176" s="56" t="s">
        <v>81</v>
      </c>
      <c r="C176" t="s">
        <v>1209</v>
      </c>
    </row>
    <row r="177" spans="2:3" x14ac:dyDescent="0.25">
      <c r="B177" s="59" t="s">
        <v>1213</v>
      </c>
      <c r="C177" t="s">
        <v>1209</v>
      </c>
    </row>
    <row r="178" spans="2:3" x14ac:dyDescent="0.25">
      <c r="B178" s="56" t="s">
        <v>91</v>
      </c>
      <c r="C178" t="s">
        <v>1209</v>
      </c>
    </row>
    <row r="179" spans="2:3" x14ac:dyDescent="0.25">
      <c r="B179" s="59" t="s">
        <v>95</v>
      </c>
      <c r="C179" t="s">
        <v>1209</v>
      </c>
    </row>
    <row r="180" spans="2:3" x14ac:dyDescent="0.25">
      <c r="B180" s="56" t="s">
        <v>102</v>
      </c>
      <c r="C180" t="s">
        <v>1209</v>
      </c>
    </row>
    <row r="181" spans="2:3" x14ac:dyDescent="0.25">
      <c r="B181" s="59" t="s">
        <v>1117</v>
      </c>
      <c r="C181" t="s">
        <v>1209</v>
      </c>
    </row>
    <row r="182" spans="2:3" x14ac:dyDescent="0.25">
      <c r="B182" s="61" t="s">
        <v>1214</v>
      </c>
      <c r="C182" t="s">
        <v>1209</v>
      </c>
    </row>
    <row r="183" spans="2:3" x14ac:dyDescent="0.25">
      <c r="B183" s="62" t="s">
        <v>1215</v>
      </c>
      <c r="C183" t="s">
        <v>1209</v>
      </c>
    </row>
    <row r="184" spans="2:3" x14ac:dyDescent="0.25">
      <c r="B184" s="56" t="s">
        <v>1118</v>
      </c>
      <c r="C184" t="s">
        <v>1209</v>
      </c>
    </row>
    <row r="185" spans="2:3" x14ac:dyDescent="0.25">
      <c r="B185" s="59" t="s">
        <v>1119</v>
      </c>
      <c r="C185" t="s">
        <v>1209</v>
      </c>
    </row>
    <row r="186" spans="2:3" x14ac:dyDescent="0.25">
      <c r="B186" s="56" t="s">
        <v>110</v>
      </c>
      <c r="C186" t="s">
        <v>1209</v>
      </c>
    </row>
    <row r="187" spans="2:3" x14ac:dyDescent="0.25">
      <c r="B187" s="62" t="s">
        <v>1216</v>
      </c>
      <c r="C187" t="s">
        <v>1209</v>
      </c>
    </row>
    <row r="188" spans="2:3" x14ac:dyDescent="0.25">
      <c r="B188" s="56" t="s">
        <v>1217</v>
      </c>
      <c r="C188" t="s">
        <v>1209</v>
      </c>
    </row>
    <row r="189" spans="2:3" x14ac:dyDescent="0.25">
      <c r="B189" s="59" t="s">
        <v>114</v>
      </c>
      <c r="C189" t="s">
        <v>1209</v>
      </c>
    </row>
    <row r="190" spans="2:3" x14ac:dyDescent="0.25">
      <c r="B190" s="61" t="s">
        <v>1218</v>
      </c>
      <c r="C190" t="s">
        <v>1209</v>
      </c>
    </row>
    <row r="191" spans="2:3" x14ac:dyDescent="0.25">
      <c r="B191" s="59" t="s">
        <v>119</v>
      </c>
      <c r="C191" t="s">
        <v>1209</v>
      </c>
    </row>
    <row r="192" spans="2:3" x14ac:dyDescent="0.25">
      <c r="B192" s="56" t="s">
        <v>82</v>
      </c>
      <c r="C192" t="s">
        <v>1209</v>
      </c>
    </row>
    <row r="193" spans="2:3" x14ac:dyDescent="0.25">
      <c r="B193" s="62" t="s">
        <v>1219</v>
      </c>
      <c r="C193" t="s">
        <v>1209</v>
      </c>
    </row>
    <row r="194" spans="2:3" x14ac:dyDescent="0.25">
      <c r="B194" s="56" t="s">
        <v>130</v>
      </c>
      <c r="C194" t="s">
        <v>1209</v>
      </c>
    </row>
    <row r="195" spans="2:3" x14ac:dyDescent="0.25">
      <c r="B195" s="59" t="s">
        <v>1121</v>
      </c>
      <c r="C195" t="s">
        <v>1209</v>
      </c>
    </row>
    <row r="196" spans="2:3" x14ac:dyDescent="0.25">
      <c r="B196" s="56" t="s">
        <v>137</v>
      </c>
      <c r="C196" t="s">
        <v>1209</v>
      </c>
    </row>
    <row r="197" spans="2:3" x14ac:dyDescent="0.25">
      <c r="B197" s="59" t="s">
        <v>144</v>
      </c>
      <c r="C197" t="s">
        <v>1209</v>
      </c>
    </row>
    <row r="198" spans="2:3" x14ac:dyDescent="0.25">
      <c r="B198" s="56" t="s">
        <v>1122</v>
      </c>
      <c r="C198" t="s">
        <v>1209</v>
      </c>
    </row>
    <row r="199" spans="2:3" x14ac:dyDescent="0.25">
      <c r="B199" s="59" t="s">
        <v>152</v>
      </c>
      <c r="C199" t="s">
        <v>1209</v>
      </c>
    </row>
    <row r="200" spans="2:3" x14ac:dyDescent="0.25">
      <c r="B200" s="61" t="s">
        <v>1220</v>
      </c>
      <c r="C200" t="s">
        <v>1209</v>
      </c>
    </row>
    <row r="201" spans="2:3" x14ac:dyDescent="0.25">
      <c r="B201" s="59" t="s">
        <v>1221</v>
      </c>
      <c r="C201" t="s">
        <v>1209</v>
      </c>
    </row>
    <row r="202" spans="2:3" x14ac:dyDescent="0.25">
      <c r="B202" s="56" t="s">
        <v>1222</v>
      </c>
      <c r="C202" t="s">
        <v>1209</v>
      </c>
    </row>
    <row r="203" spans="2:3" x14ac:dyDescent="0.25">
      <c r="B203" s="59" t="s">
        <v>165</v>
      </c>
      <c r="C203" t="s">
        <v>1209</v>
      </c>
    </row>
    <row r="204" spans="2:3" x14ac:dyDescent="0.25">
      <c r="B204" s="56" t="s">
        <v>171</v>
      </c>
      <c r="C204" t="s">
        <v>1209</v>
      </c>
    </row>
    <row r="205" spans="2:3" x14ac:dyDescent="0.25">
      <c r="B205" s="59" t="s">
        <v>1223</v>
      </c>
      <c r="C205" t="s">
        <v>1209</v>
      </c>
    </row>
    <row r="206" spans="2:3" x14ac:dyDescent="0.25">
      <c r="B206" s="56" t="s">
        <v>178</v>
      </c>
      <c r="C206" t="s">
        <v>1209</v>
      </c>
    </row>
    <row r="207" spans="2:3" x14ac:dyDescent="0.25">
      <c r="B207" s="59" t="s">
        <v>1224</v>
      </c>
      <c r="C207" t="s">
        <v>1209</v>
      </c>
    </row>
    <row r="208" spans="2:3" x14ac:dyDescent="0.25">
      <c r="B208" s="56" t="s">
        <v>185</v>
      </c>
      <c r="C208" t="s">
        <v>1209</v>
      </c>
    </row>
    <row r="209" spans="2:3" x14ac:dyDescent="0.25">
      <c r="B209" s="59" t="s">
        <v>1123</v>
      </c>
      <c r="C209" t="s">
        <v>1209</v>
      </c>
    </row>
    <row r="210" spans="2:3" x14ac:dyDescent="0.25">
      <c r="B210" s="56" t="s">
        <v>188</v>
      </c>
      <c r="C210" t="s">
        <v>1209</v>
      </c>
    </row>
    <row r="211" spans="2:3" x14ac:dyDescent="0.25">
      <c r="B211" s="59" t="s">
        <v>195</v>
      </c>
      <c r="C211" t="s">
        <v>1209</v>
      </c>
    </row>
    <row r="212" spans="2:3" x14ac:dyDescent="0.25">
      <c r="B212" s="56" t="s">
        <v>201</v>
      </c>
      <c r="C212" t="s">
        <v>1209</v>
      </c>
    </row>
    <row r="213" spans="2:3" x14ac:dyDescent="0.25">
      <c r="B213" s="59" t="s">
        <v>210</v>
      </c>
      <c r="C213" t="s">
        <v>1209</v>
      </c>
    </row>
    <row r="214" spans="2:3" x14ac:dyDescent="0.25">
      <c r="B214" s="56" t="s">
        <v>213</v>
      </c>
      <c r="C214" t="s">
        <v>1209</v>
      </c>
    </row>
    <row r="215" spans="2:3" x14ac:dyDescent="0.25">
      <c r="B215" s="59" t="s">
        <v>1179</v>
      </c>
      <c r="C215" t="s">
        <v>1209</v>
      </c>
    </row>
    <row r="216" spans="2:3" x14ac:dyDescent="0.25">
      <c r="B216" s="56" t="s">
        <v>1124</v>
      </c>
      <c r="C216" t="s">
        <v>1209</v>
      </c>
    </row>
    <row r="217" spans="2:3" x14ac:dyDescent="0.25">
      <c r="B217" s="59" t="s">
        <v>1225</v>
      </c>
      <c r="C217" t="s">
        <v>1209</v>
      </c>
    </row>
    <row r="218" spans="2:3" x14ac:dyDescent="0.25">
      <c r="B218" s="56" t="s">
        <v>1125</v>
      </c>
      <c r="C218" t="s">
        <v>1209</v>
      </c>
    </row>
    <row r="219" spans="2:3" x14ac:dyDescent="0.25">
      <c r="B219" s="59" t="s">
        <v>222</v>
      </c>
      <c r="C219" t="s">
        <v>1209</v>
      </c>
    </row>
    <row r="220" spans="2:3" x14ac:dyDescent="0.25">
      <c r="B220" s="56" t="s">
        <v>229</v>
      </c>
      <c r="C220" t="s">
        <v>1209</v>
      </c>
    </row>
    <row r="221" spans="2:3" x14ac:dyDescent="0.25">
      <c r="B221" s="59" t="s">
        <v>1126</v>
      </c>
      <c r="C221" t="s">
        <v>1209</v>
      </c>
    </row>
    <row r="222" spans="2:3" x14ac:dyDescent="0.25">
      <c r="B222" s="56" t="s">
        <v>236</v>
      </c>
      <c r="C222" t="s">
        <v>1209</v>
      </c>
    </row>
    <row r="223" spans="2:3" x14ac:dyDescent="0.25">
      <c r="B223" s="59" t="s">
        <v>242</v>
      </c>
      <c r="C223" t="s">
        <v>1209</v>
      </c>
    </row>
    <row r="224" spans="2:3" x14ac:dyDescent="0.25">
      <c r="B224" s="56" t="s">
        <v>1226</v>
      </c>
      <c r="C224" t="s">
        <v>1209</v>
      </c>
    </row>
    <row r="225" spans="2:3" x14ac:dyDescent="0.25">
      <c r="B225" s="59" t="s">
        <v>1227</v>
      </c>
      <c r="C225" t="s">
        <v>1209</v>
      </c>
    </row>
    <row r="226" spans="2:3" x14ac:dyDescent="0.25">
      <c r="B226" s="56" t="s">
        <v>1228</v>
      </c>
      <c r="C226" t="s">
        <v>1209</v>
      </c>
    </row>
    <row r="227" spans="2:3" x14ac:dyDescent="0.25">
      <c r="B227" s="59" t="s">
        <v>1229</v>
      </c>
      <c r="C227" t="s">
        <v>1209</v>
      </c>
    </row>
    <row r="228" spans="2:3" x14ac:dyDescent="0.25">
      <c r="B228" s="61" t="s">
        <v>1230</v>
      </c>
      <c r="C228" t="s">
        <v>1209</v>
      </c>
    </row>
    <row r="229" spans="2:3" x14ac:dyDescent="0.25">
      <c r="B229" s="59" t="s">
        <v>1231</v>
      </c>
      <c r="C229" t="s">
        <v>1209</v>
      </c>
    </row>
    <row r="230" spans="2:3" x14ac:dyDescent="0.25">
      <c r="B230" s="56" t="s">
        <v>248</v>
      </c>
      <c r="C230" t="s">
        <v>1209</v>
      </c>
    </row>
    <row r="231" spans="2:3" x14ac:dyDescent="0.25">
      <c r="B231" s="59" t="s">
        <v>255</v>
      </c>
      <c r="C231" t="s">
        <v>1209</v>
      </c>
    </row>
    <row r="232" spans="2:3" x14ac:dyDescent="0.25">
      <c r="B232" s="56" t="s">
        <v>260</v>
      </c>
      <c r="C232" t="s">
        <v>1209</v>
      </c>
    </row>
    <row r="233" spans="2:3" x14ac:dyDescent="0.25">
      <c r="B233" s="59" t="s">
        <v>266</v>
      </c>
      <c r="C233" t="s">
        <v>1209</v>
      </c>
    </row>
    <row r="234" spans="2:3" x14ac:dyDescent="0.25">
      <c r="B234" s="56" t="s">
        <v>273</v>
      </c>
      <c r="C234" t="s">
        <v>1209</v>
      </c>
    </row>
    <row r="235" spans="2:3" x14ac:dyDescent="0.25">
      <c r="B235" s="59" t="s">
        <v>1182</v>
      </c>
      <c r="C235" t="s">
        <v>1209</v>
      </c>
    </row>
    <row r="236" spans="2:3" x14ac:dyDescent="0.25">
      <c r="B236" s="56" t="s">
        <v>283</v>
      </c>
      <c r="C236" t="s">
        <v>1209</v>
      </c>
    </row>
    <row r="237" spans="2:3" x14ac:dyDescent="0.25">
      <c r="B237" s="59" t="s">
        <v>287</v>
      </c>
      <c r="C237" t="s">
        <v>1209</v>
      </c>
    </row>
    <row r="238" spans="2:3" x14ac:dyDescent="0.25">
      <c r="B238" s="56" t="s">
        <v>1127</v>
      </c>
      <c r="C238" t="s">
        <v>1209</v>
      </c>
    </row>
    <row r="239" spans="2:3" x14ac:dyDescent="0.25">
      <c r="B239" s="59" t="s">
        <v>1128</v>
      </c>
      <c r="C239" t="s">
        <v>1209</v>
      </c>
    </row>
    <row r="240" spans="2:3" x14ac:dyDescent="0.25">
      <c r="B240" s="56" t="s">
        <v>1129</v>
      </c>
      <c r="C240" t="s">
        <v>1209</v>
      </c>
    </row>
    <row r="241" spans="2:3" x14ac:dyDescent="0.25">
      <c r="B241" s="62" t="s">
        <v>1232</v>
      </c>
      <c r="C241" t="s">
        <v>1209</v>
      </c>
    </row>
    <row r="242" spans="2:3" x14ac:dyDescent="0.25">
      <c r="B242" s="56" t="s">
        <v>1233</v>
      </c>
      <c r="C242" t="s">
        <v>1209</v>
      </c>
    </row>
    <row r="243" spans="2:3" x14ac:dyDescent="0.25">
      <c r="B243" s="59" t="s">
        <v>1234</v>
      </c>
      <c r="C243" t="s">
        <v>1209</v>
      </c>
    </row>
    <row r="244" spans="2:3" x14ac:dyDescent="0.25">
      <c r="B244" s="56" t="s">
        <v>1130</v>
      </c>
      <c r="C244" t="s">
        <v>1209</v>
      </c>
    </row>
    <row r="245" spans="2:3" x14ac:dyDescent="0.25">
      <c r="B245" s="59" t="s">
        <v>300</v>
      </c>
      <c r="C245" t="s">
        <v>1209</v>
      </c>
    </row>
    <row r="246" spans="2:3" x14ac:dyDescent="0.25">
      <c r="B246" s="56" t="s">
        <v>306</v>
      </c>
      <c r="C246" t="s">
        <v>1209</v>
      </c>
    </row>
    <row r="247" spans="2:3" x14ac:dyDescent="0.25">
      <c r="B247" s="59" t="s">
        <v>309</v>
      </c>
      <c r="C247" t="s">
        <v>1209</v>
      </c>
    </row>
    <row r="248" spans="2:3" x14ac:dyDescent="0.25">
      <c r="B248" s="56" t="s">
        <v>321</v>
      </c>
      <c r="C248" t="s">
        <v>1209</v>
      </c>
    </row>
    <row r="249" spans="2:3" x14ac:dyDescent="0.25">
      <c r="B249" s="59" t="s">
        <v>327</v>
      </c>
      <c r="C249" t="s">
        <v>1209</v>
      </c>
    </row>
    <row r="250" spans="2:3" x14ac:dyDescent="0.25">
      <c r="B250" s="56" t="s">
        <v>333</v>
      </c>
      <c r="C250" t="s">
        <v>1209</v>
      </c>
    </row>
    <row r="251" spans="2:3" x14ac:dyDescent="0.25">
      <c r="B251" s="59" t="s">
        <v>339</v>
      </c>
      <c r="C251" t="s">
        <v>1209</v>
      </c>
    </row>
    <row r="252" spans="2:3" x14ac:dyDescent="0.25">
      <c r="B252" s="56" t="s">
        <v>344</v>
      </c>
      <c r="C252" t="s">
        <v>1209</v>
      </c>
    </row>
    <row r="253" spans="2:3" x14ac:dyDescent="0.25">
      <c r="B253" s="59" t="s">
        <v>1131</v>
      </c>
      <c r="C253" t="s">
        <v>1209</v>
      </c>
    </row>
    <row r="254" spans="2:3" x14ac:dyDescent="0.25">
      <c r="B254" s="56" t="s">
        <v>350</v>
      </c>
      <c r="C254" t="s">
        <v>1209</v>
      </c>
    </row>
    <row r="255" spans="2:3" x14ac:dyDescent="0.25">
      <c r="B255" s="59" t="s">
        <v>355</v>
      </c>
      <c r="C255" t="s">
        <v>1209</v>
      </c>
    </row>
    <row r="256" spans="2:3" x14ac:dyDescent="0.25">
      <c r="B256" s="61" t="s">
        <v>1235</v>
      </c>
      <c r="C256" t="s">
        <v>1209</v>
      </c>
    </row>
    <row r="257" spans="2:3" x14ac:dyDescent="0.25">
      <c r="B257" s="59" t="s">
        <v>1236</v>
      </c>
      <c r="C257" t="s">
        <v>1209</v>
      </c>
    </row>
    <row r="258" spans="2:3" x14ac:dyDescent="0.25">
      <c r="B258" s="56" t="s">
        <v>1132</v>
      </c>
      <c r="C258" t="s">
        <v>1209</v>
      </c>
    </row>
    <row r="259" spans="2:3" x14ac:dyDescent="0.25">
      <c r="B259" s="59" t="s">
        <v>267</v>
      </c>
      <c r="C259" t="s">
        <v>1209</v>
      </c>
    </row>
    <row r="260" spans="2:3" x14ac:dyDescent="0.25">
      <c r="B260" s="56" t="s">
        <v>1133</v>
      </c>
      <c r="C260" t="s">
        <v>1209</v>
      </c>
    </row>
    <row r="261" spans="2:3" x14ac:dyDescent="0.25">
      <c r="B261" s="59" t="s">
        <v>1134</v>
      </c>
      <c r="C261" t="s">
        <v>1209</v>
      </c>
    </row>
    <row r="262" spans="2:3" x14ac:dyDescent="0.25">
      <c r="B262" s="56" t="s">
        <v>1237</v>
      </c>
      <c r="C262" t="s">
        <v>1209</v>
      </c>
    </row>
    <row r="263" spans="2:3" x14ac:dyDescent="0.25">
      <c r="B263" s="59" t="s">
        <v>1135</v>
      </c>
      <c r="C263" t="s">
        <v>1209</v>
      </c>
    </row>
    <row r="264" spans="2:3" x14ac:dyDescent="0.25">
      <c r="B264" s="56" t="s">
        <v>1238</v>
      </c>
      <c r="C264" t="s">
        <v>1209</v>
      </c>
    </row>
    <row r="265" spans="2:3" x14ac:dyDescent="0.25">
      <c r="B265" s="59" t="s">
        <v>368</v>
      </c>
      <c r="C265" t="s">
        <v>1209</v>
      </c>
    </row>
    <row r="266" spans="2:3" x14ac:dyDescent="0.25">
      <c r="B266" s="56" t="s">
        <v>372</v>
      </c>
      <c r="C266" t="s">
        <v>1209</v>
      </c>
    </row>
    <row r="267" spans="2:3" x14ac:dyDescent="0.25">
      <c r="B267" s="59" t="s">
        <v>378</v>
      </c>
      <c r="C267" t="s">
        <v>1209</v>
      </c>
    </row>
    <row r="268" spans="2:3" x14ac:dyDescent="0.25">
      <c r="B268" s="56" t="s">
        <v>1136</v>
      </c>
      <c r="C268" t="s">
        <v>1209</v>
      </c>
    </row>
    <row r="269" spans="2:3" x14ac:dyDescent="0.25">
      <c r="B269" s="59" t="s">
        <v>383</v>
      </c>
      <c r="C269" t="s">
        <v>1209</v>
      </c>
    </row>
    <row r="270" spans="2:3" x14ac:dyDescent="0.25">
      <c r="B270" s="56" t="s">
        <v>1137</v>
      </c>
      <c r="C270" t="s">
        <v>1209</v>
      </c>
    </row>
    <row r="271" spans="2:3" x14ac:dyDescent="0.25">
      <c r="B271" s="62" t="s">
        <v>1239</v>
      </c>
      <c r="C271" t="s">
        <v>1209</v>
      </c>
    </row>
    <row r="272" spans="2:3" x14ac:dyDescent="0.25">
      <c r="B272" s="61" t="s">
        <v>1240</v>
      </c>
      <c r="C272" t="s">
        <v>1209</v>
      </c>
    </row>
    <row r="273" spans="2:3" x14ac:dyDescent="0.25">
      <c r="B273" s="59" t="s">
        <v>389</v>
      </c>
      <c r="C273" t="s">
        <v>1209</v>
      </c>
    </row>
    <row r="274" spans="2:3" x14ac:dyDescent="0.25">
      <c r="B274" s="56" t="s">
        <v>1138</v>
      </c>
      <c r="C274" t="s">
        <v>1209</v>
      </c>
    </row>
    <row r="275" spans="2:3" x14ac:dyDescent="0.25">
      <c r="B275" s="59" t="s">
        <v>393</v>
      </c>
      <c r="C275" t="s">
        <v>1209</v>
      </c>
    </row>
    <row r="276" spans="2:3" x14ac:dyDescent="0.25">
      <c r="B276" s="56" t="s">
        <v>1241</v>
      </c>
      <c r="C276" t="s">
        <v>1209</v>
      </c>
    </row>
    <row r="277" spans="2:3" x14ac:dyDescent="0.25">
      <c r="B277" s="59" t="s">
        <v>1139</v>
      </c>
      <c r="C277" t="s">
        <v>1209</v>
      </c>
    </row>
    <row r="278" spans="2:3" x14ac:dyDescent="0.25">
      <c r="B278" s="56" t="s">
        <v>396</v>
      </c>
      <c r="C278" t="s">
        <v>1209</v>
      </c>
    </row>
    <row r="279" spans="2:3" x14ac:dyDescent="0.25">
      <c r="B279" s="59" t="s">
        <v>1242</v>
      </c>
      <c r="C279" t="s">
        <v>1209</v>
      </c>
    </row>
    <row r="280" spans="2:3" x14ac:dyDescent="0.25">
      <c r="B280" s="56" t="s">
        <v>402</v>
      </c>
      <c r="C280" t="s">
        <v>1209</v>
      </c>
    </row>
    <row r="281" spans="2:3" x14ac:dyDescent="0.25">
      <c r="B281" s="59" t="s">
        <v>1185</v>
      </c>
      <c r="C281" t="s">
        <v>1209</v>
      </c>
    </row>
    <row r="282" spans="2:3" x14ac:dyDescent="0.25">
      <c r="B282" s="60" t="s">
        <v>413</v>
      </c>
      <c r="C282" t="s">
        <v>1209</v>
      </c>
    </row>
    <row r="283" spans="2:3" x14ac:dyDescent="0.25">
      <c r="B283" s="59" t="s">
        <v>419</v>
      </c>
      <c r="C283" t="s">
        <v>1209</v>
      </c>
    </row>
    <row r="284" spans="2:3" x14ac:dyDescent="0.25">
      <c r="B284" s="54" t="s">
        <v>1243</v>
      </c>
      <c r="C284" t="s">
        <v>1209</v>
      </c>
    </row>
    <row r="285" spans="2:3" x14ac:dyDescent="0.25">
      <c r="B285" s="53" t="s">
        <v>1244</v>
      </c>
      <c r="C285" t="s">
        <v>1209</v>
      </c>
    </row>
    <row r="286" spans="2:3" x14ac:dyDescent="0.25">
      <c r="B286" s="54" t="s">
        <v>425</v>
      </c>
      <c r="C286" t="s">
        <v>1209</v>
      </c>
    </row>
    <row r="287" spans="2:3" x14ac:dyDescent="0.25">
      <c r="B287" s="57" t="s">
        <v>1245</v>
      </c>
      <c r="C287" t="s">
        <v>1209</v>
      </c>
    </row>
    <row r="288" spans="2:3" x14ac:dyDescent="0.25">
      <c r="B288" s="54" t="s">
        <v>1141</v>
      </c>
      <c r="C288" t="s">
        <v>1209</v>
      </c>
    </row>
    <row r="289" spans="2:3" x14ac:dyDescent="0.25">
      <c r="B289" s="53" t="s">
        <v>1142</v>
      </c>
      <c r="C289" t="s">
        <v>1209</v>
      </c>
    </row>
    <row r="290" spans="2:3" x14ac:dyDescent="0.25">
      <c r="B290" s="54" t="s">
        <v>431</v>
      </c>
      <c r="C290" t="s">
        <v>1209</v>
      </c>
    </row>
    <row r="291" spans="2:3" x14ac:dyDescent="0.25">
      <c r="B291" s="53" t="s">
        <v>437</v>
      </c>
      <c r="C291" t="s">
        <v>1209</v>
      </c>
    </row>
    <row r="292" spans="2:3" x14ac:dyDescent="0.25">
      <c r="B292" s="54" t="s">
        <v>1246</v>
      </c>
      <c r="C292" t="s">
        <v>1209</v>
      </c>
    </row>
    <row r="293" spans="2:3" x14ac:dyDescent="0.25">
      <c r="B293" s="53" t="s">
        <v>449</v>
      </c>
      <c r="C293" t="s">
        <v>1209</v>
      </c>
    </row>
    <row r="294" spans="2:3" x14ac:dyDescent="0.25">
      <c r="B294" s="54" t="s">
        <v>1143</v>
      </c>
      <c r="C294" t="s">
        <v>1209</v>
      </c>
    </row>
    <row r="295" spans="2:3" x14ac:dyDescent="0.25">
      <c r="B295" s="53" t="s">
        <v>1144</v>
      </c>
      <c r="C295" t="s">
        <v>1209</v>
      </c>
    </row>
    <row r="296" spans="2:3" x14ac:dyDescent="0.25">
      <c r="B296" s="54" t="s">
        <v>1145</v>
      </c>
      <c r="C296" t="s">
        <v>1209</v>
      </c>
    </row>
    <row r="297" spans="2:3" x14ac:dyDescent="0.25">
      <c r="B297" s="53" t="s">
        <v>1146</v>
      </c>
      <c r="C297" t="s">
        <v>1209</v>
      </c>
    </row>
    <row r="298" spans="2:3" x14ac:dyDescent="0.25">
      <c r="B298" s="54" t="s">
        <v>455</v>
      </c>
      <c r="C298" t="s">
        <v>1209</v>
      </c>
    </row>
    <row r="299" spans="2:3" x14ac:dyDescent="0.25">
      <c r="B299" s="53" t="s">
        <v>1247</v>
      </c>
      <c r="C299" t="s">
        <v>1209</v>
      </c>
    </row>
    <row r="300" spans="2:3" x14ac:dyDescent="0.25">
      <c r="B300" s="54" t="s">
        <v>1147</v>
      </c>
      <c r="C300" t="s">
        <v>1209</v>
      </c>
    </row>
    <row r="301" spans="2:3" x14ac:dyDescent="0.25">
      <c r="B301" s="57" t="s">
        <v>1248</v>
      </c>
      <c r="C301" t="s">
        <v>1209</v>
      </c>
    </row>
    <row r="302" spans="2:3" x14ac:dyDescent="0.25">
      <c r="B302" s="54" t="s">
        <v>1249</v>
      </c>
      <c r="C302" t="s">
        <v>1209</v>
      </c>
    </row>
    <row r="303" spans="2:3" x14ac:dyDescent="0.25">
      <c r="B303" s="53" t="s">
        <v>460</v>
      </c>
      <c r="C303" t="s">
        <v>1209</v>
      </c>
    </row>
    <row r="304" spans="2:3" x14ac:dyDescent="0.25">
      <c r="B304" s="55" t="s">
        <v>1250</v>
      </c>
      <c r="C304" t="s">
        <v>1209</v>
      </c>
    </row>
    <row r="305" spans="2:3" x14ac:dyDescent="0.25">
      <c r="B305" s="53" t="s">
        <v>466</v>
      </c>
      <c r="C305" t="s">
        <v>1209</v>
      </c>
    </row>
    <row r="306" spans="2:3" x14ac:dyDescent="0.25">
      <c r="B306" s="54" t="s">
        <v>472</v>
      </c>
      <c r="C306" t="s">
        <v>1209</v>
      </c>
    </row>
    <row r="307" spans="2:3" x14ac:dyDescent="0.25">
      <c r="B307" s="57" t="s">
        <v>1251</v>
      </c>
      <c r="C307" t="s">
        <v>1209</v>
      </c>
    </row>
    <row r="308" spans="2:3" x14ac:dyDescent="0.25">
      <c r="B308" s="54" t="s">
        <v>478</v>
      </c>
      <c r="C308" t="s">
        <v>1209</v>
      </c>
    </row>
    <row r="309" spans="2:3" x14ac:dyDescent="0.25">
      <c r="B309" s="58" t="s">
        <v>482</v>
      </c>
      <c r="C309" t="s">
        <v>1209</v>
      </c>
    </row>
    <row r="310" spans="2:3" x14ac:dyDescent="0.25">
      <c r="B310" s="54" t="s">
        <v>487</v>
      </c>
      <c r="C310" t="s">
        <v>1209</v>
      </c>
    </row>
    <row r="311" spans="2:3" x14ac:dyDescent="0.25">
      <c r="B311" s="53" t="s">
        <v>1252</v>
      </c>
      <c r="C311" t="s">
        <v>1209</v>
      </c>
    </row>
    <row r="312" spans="2:3" x14ac:dyDescent="0.25">
      <c r="B312" s="54" t="s">
        <v>1253</v>
      </c>
      <c r="C312" t="s">
        <v>1209</v>
      </c>
    </row>
    <row r="313" spans="2:3" x14ac:dyDescent="0.25">
      <c r="B313" s="53" t="s">
        <v>1149</v>
      </c>
      <c r="C313" t="s">
        <v>1209</v>
      </c>
    </row>
    <row r="314" spans="2:3" x14ac:dyDescent="0.25">
      <c r="B314" s="54" t="s">
        <v>496</v>
      </c>
      <c r="C314" t="s">
        <v>1209</v>
      </c>
    </row>
    <row r="315" spans="2:3" x14ac:dyDescent="0.25">
      <c r="B315" s="53" t="s">
        <v>502</v>
      </c>
      <c r="C315" t="s">
        <v>1209</v>
      </c>
    </row>
    <row r="316" spans="2:3" x14ac:dyDescent="0.25">
      <c r="B316" s="54" t="s">
        <v>508</v>
      </c>
      <c r="C316" t="s">
        <v>1209</v>
      </c>
    </row>
    <row r="317" spans="2:3" x14ac:dyDescent="0.25">
      <c r="B317" s="53" t="s">
        <v>513</v>
      </c>
      <c r="C317" t="s">
        <v>1209</v>
      </c>
    </row>
    <row r="318" spans="2:3" x14ac:dyDescent="0.25">
      <c r="B318" s="54" t="s">
        <v>1150</v>
      </c>
      <c r="C318" t="s">
        <v>1209</v>
      </c>
    </row>
    <row r="319" spans="2:3" x14ac:dyDescent="0.25">
      <c r="B319" s="53" t="s">
        <v>1151</v>
      </c>
      <c r="C319" t="s">
        <v>1209</v>
      </c>
    </row>
    <row r="320" spans="2:3" x14ac:dyDescent="0.25">
      <c r="B320" s="54" t="s">
        <v>1152</v>
      </c>
      <c r="C320" t="s">
        <v>1209</v>
      </c>
    </row>
    <row r="321" spans="2:3" x14ac:dyDescent="0.25">
      <c r="B321" s="53" t="s">
        <v>519</v>
      </c>
      <c r="C321" t="s">
        <v>1209</v>
      </c>
    </row>
    <row r="322" spans="2:3" x14ac:dyDescent="0.25">
      <c r="B322" s="55" t="s">
        <v>1254</v>
      </c>
      <c r="C322" t="s">
        <v>1209</v>
      </c>
    </row>
    <row r="323" spans="2:3" x14ac:dyDescent="0.25">
      <c r="B323" s="53" t="s">
        <v>525</v>
      </c>
      <c r="C323" t="s">
        <v>1209</v>
      </c>
    </row>
    <row r="324" spans="2:3" x14ac:dyDescent="0.25">
      <c r="B324" s="54" t="s">
        <v>531</v>
      </c>
      <c r="C324" t="s">
        <v>1209</v>
      </c>
    </row>
    <row r="325" spans="2:3" x14ac:dyDescent="0.25">
      <c r="B325" s="53" t="s">
        <v>535</v>
      </c>
      <c r="C325" t="s">
        <v>1209</v>
      </c>
    </row>
    <row r="326" spans="2:3" x14ac:dyDescent="0.25">
      <c r="B326" s="54" t="s">
        <v>540</v>
      </c>
      <c r="C326" t="s">
        <v>1209</v>
      </c>
    </row>
    <row r="327" spans="2:3" x14ac:dyDescent="0.25">
      <c r="B327" s="53" t="s">
        <v>1154</v>
      </c>
      <c r="C327" t="s">
        <v>1209</v>
      </c>
    </row>
    <row r="328" spans="2:3" x14ac:dyDescent="0.25">
      <c r="B328" s="54" t="s">
        <v>546</v>
      </c>
      <c r="C328" t="s">
        <v>1209</v>
      </c>
    </row>
    <row r="329" spans="2:3" x14ac:dyDescent="0.25">
      <c r="B329" s="53" t="s">
        <v>1255</v>
      </c>
      <c r="C329" t="s">
        <v>1209</v>
      </c>
    </row>
    <row r="330" spans="2:3" x14ac:dyDescent="0.25">
      <c r="B330" s="54" t="s">
        <v>549</v>
      </c>
      <c r="C330" t="s">
        <v>1209</v>
      </c>
    </row>
    <row r="331" spans="2:3" x14ac:dyDescent="0.25">
      <c r="B331" s="53" t="s">
        <v>1155</v>
      </c>
      <c r="C331" t="s">
        <v>1209</v>
      </c>
    </row>
    <row r="332" spans="2:3" x14ac:dyDescent="0.25">
      <c r="B332" s="54" t="s">
        <v>1256</v>
      </c>
      <c r="C332" t="s">
        <v>1209</v>
      </c>
    </row>
    <row r="333" spans="2:3" x14ac:dyDescent="0.25">
      <c r="B333" s="53" t="s">
        <v>555</v>
      </c>
      <c r="C333" t="s">
        <v>1209</v>
      </c>
    </row>
    <row r="334" spans="2:3" x14ac:dyDescent="0.25">
      <c r="B334" s="54" t="s">
        <v>1257</v>
      </c>
      <c r="C334" t="s">
        <v>1209</v>
      </c>
    </row>
    <row r="335" spans="2:3" x14ac:dyDescent="0.25">
      <c r="B335" s="57" t="s">
        <v>1258</v>
      </c>
      <c r="C335" t="s">
        <v>1209</v>
      </c>
    </row>
    <row r="336" spans="2:3" x14ac:dyDescent="0.25">
      <c r="B336" s="54" t="s">
        <v>1156</v>
      </c>
      <c r="C336" t="s">
        <v>1209</v>
      </c>
    </row>
    <row r="337" spans="2:3" x14ac:dyDescent="0.25">
      <c r="B337" s="53" t="s">
        <v>569</v>
      </c>
      <c r="C337" t="s">
        <v>1209</v>
      </c>
    </row>
    <row r="338" spans="2:3" x14ac:dyDescent="0.25">
      <c r="B338" s="54" t="s">
        <v>1192</v>
      </c>
      <c r="C338" t="s">
        <v>1209</v>
      </c>
    </row>
    <row r="339" spans="2:3" x14ac:dyDescent="0.25">
      <c r="B339" s="53" t="s">
        <v>574</v>
      </c>
      <c r="C339" t="s">
        <v>1209</v>
      </c>
    </row>
    <row r="340" spans="2:3" x14ac:dyDescent="0.25">
      <c r="B340" s="54" t="s">
        <v>577</v>
      </c>
      <c r="C340" t="s">
        <v>1209</v>
      </c>
    </row>
    <row r="341" spans="2:3" x14ac:dyDescent="0.25">
      <c r="B341" s="53" t="s">
        <v>1193</v>
      </c>
      <c r="C341" t="s">
        <v>1209</v>
      </c>
    </row>
    <row r="342" spans="2:3" x14ac:dyDescent="0.25">
      <c r="B342" s="54" t="s">
        <v>583</v>
      </c>
      <c r="C342" t="s">
        <v>1209</v>
      </c>
    </row>
    <row r="343" spans="2:3" x14ac:dyDescent="0.25">
      <c r="B343" s="53" t="s">
        <v>590</v>
      </c>
      <c r="C343" t="s">
        <v>1209</v>
      </c>
    </row>
    <row r="344" spans="2:3" x14ac:dyDescent="0.25">
      <c r="B344" s="54" t="s">
        <v>596</v>
      </c>
      <c r="C344" t="s">
        <v>1209</v>
      </c>
    </row>
    <row r="345" spans="2:3" x14ac:dyDescent="0.25">
      <c r="B345" s="57" t="s">
        <v>1259</v>
      </c>
      <c r="C345" t="s">
        <v>1209</v>
      </c>
    </row>
    <row r="346" spans="2:3" x14ac:dyDescent="0.25">
      <c r="B346" s="54" t="s">
        <v>599</v>
      </c>
      <c r="C346" t="s">
        <v>1209</v>
      </c>
    </row>
    <row r="347" spans="2:3" x14ac:dyDescent="0.25">
      <c r="B347" s="53" t="s">
        <v>1260</v>
      </c>
      <c r="C347" t="s">
        <v>1209</v>
      </c>
    </row>
    <row r="348" spans="2:3" x14ac:dyDescent="0.25">
      <c r="B348" s="54" t="s">
        <v>1158</v>
      </c>
      <c r="C348" t="s">
        <v>1209</v>
      </c>
    </row>
    <row r="349" spans="2:3" x14ac:dyDescent="0.25">
      <c r="B349" s="53" t="s">
        <v>1159</v>
      </c>
      <c r="C349" t="s">
        <v>1209</v>
      </c>
    </row>
    <row r="350" spans="2:3" x14ac:dyDescent="0.25">
      <c r="B350" s="54" t="s">
        <v>605</v>
      </c>
      <c r="C350" t="s">
        <v>1209</v>
      </c>
    </row>
    <row r="351" spans="2:3" x14ac:dyDescent="0.25">
      <c r="B351" s="53" t="s">
        <v>610</v>
      </c>
      <c r="C351" t="s">
        <v>1209</v>
      </c>
    </row>
    <row r="352" spans="2:3" x14ac:dyDescent="0.25">
      <c r="B352" s="54" t="s">
        <v>616</v>
      </c>
      <c r="C352" t="s">
        <v>1209</v>
      </c>
    </row>
    <row r="353" spans="2:3" x14ac:dyDescent="0.25">
      <c r="B353" s="53" t="s">
        <v>622</v>
      </c>
      <c r="C353" t="s">
        <v>1209</v>
      </c>
    </row>
    <row r="354" spans="2:3" x14ac:dyDescent="0.25">
      <c r="B354" s="54" t="s">
        <v>1261</v>
      </c>
      <c r="C354" t="s">
        <v>1209</v>
      </c>
    </row>
    <row r="355" spans="2:3" x14ac:dyDescent="0.25">
      <c r="B355" s="53" t="s">
        <v>625</v>
      </c>
      <c r="C355" t="s">
        <v>1209</v>
      </c>
    </row>
    <row r="356" spans="2:3" x14ac:dyDescent="0.25">
      <c r="B356" s="54" t="s">
        <v>1160</v>
      </c>
      <c r="C356" t="s">
        <v>1209</v>
      </c>
    </row>
    <row r="357" spans="2:3" x14ac:dyDescent="0.25">
      <c r="B357" s="53" t="s">
        <v>1161</v>
      </c>
      <c r="C357" t="s">
        <v>1209</v>
      </c>
    </row>
    <row r="358" spans="2:3" x14ac:dyDescent="0.25">
      <c r="B358" s="54" t="s">
        <v>629</v>
      </c>
      <c r="C358" t="s">
        <v>1209</v>
      </c>
    </row>
    <row r="359" spans="2:3" x14ac:dyDescent="0.25">
      <c r="B359" s="53" t="s">
        <v>633</v>
      </c>
      <c r="C359" t="s">
        <v>1209</v>
      </c>
    </row>
    <row r="360" spans="2:3" x14ac:dyDescent="0.25">
      <c r="B360" s="54" t="s">
        <v>639</v>
      </c>
      <c r="C360" t="s">
        <v>1209</v>
      </c>
    </row>
    <row r="361" spans="2:3" x14ac:dyDescent="0.25">
      <c r="B361" s="57" t="s">
        <v>1262</v>
      </c>
      <c r="C361" t="s">
        <v>1209</v>
      </c>
    </row>
    <row r="362" spans="2:3" x14ac:dyDescent="0.25">
      <c r="B362" s="54" t="s">
        <v>648</v>
      </c>
      <c r="C362" t="s">
        <v>1209</v>
      </c>
    </row>
    <row r="363" spans="2:3" x14ac:dyDescent="0.25">
      <c r="B363" s="53" t="s">
        <v>654</v>
      </c>
      <c r="C363" t="s">
        <v>1209</v>
      </c>
    </row>
    <row r="364" spans="2:3" x14ac:dyDescent="0.25">
      <c r="B364" s="54" t="s">
        <v>660</v>
      </c>
      <c r="C364" t="s">
        <v>1209</v>
      </c>
    </row>
    <row r="365" spans="2:3" x14ac:dyDescent="0.25">
      <c r="B365" s="53" t="s">
        <v>665</v>
      </c>
      <c r="C365" t="s">
        <v>1209</v>
      </c>
    </row>
    <row r="366" spans="2:3" x14ac:dyDescent="0.25">
      <c r="B366" s="54" t="s">
        <v>671</v>
      </c>
      <c r="C366" t="s">
        <v>1209</v>
      </c>
    </row>
    <row r="367" spans="2:3" x14ac:dyDescent="0.25">
      <c r="B367" s="53" t="s">
        <v>1263</v>
      </c>
      <c r="C367" t="s">
        <v>1209</v>
      </c>
    </row>
    <row r="368" spans="2:3" x14ac:dyDescent="0.25">
      <c r="B368" s="54" t="s">
        <v>676</v>
      </c>
      <c r="C368" t="s">
        <v>1209</v>
      </c>
    </row>
    <row r="369" spans="2:3" x14ac:dyDescent="0.25">
      <c r="B369" s="53" t="s">
        <v>1162</v>
      </c>
      <c r="C369" t="s">
        <v>1209</v>
      </c>
    </row>
    <row r="370" spans="2:3" x14ac:dyDescent="0.25">
      <c r="B370" s="54" t="s">
        <v>1163</v>
      </c>
      <c r="C370" t="s">
        <v>1209</v>
      </c>
    </row>
    <row r="371" spans="2:3" x14ac:dyDescent="0.25">
      <c r="B371" s="53" t="s">
        <v>681</v>
      </c>
      <c r="C371" t="s">
        <v>1209</v>
      </c>
    </row>
    <row r="372" spans="2:3" x14ac:dyDescent="0.25">
      <c r="B372" s="54" t="s">
        <v>1264</v>
      </c>
      <c r="C372" t="s">
        <v>1209</v>
      </c>
    </row>
    <row r="373" spans="2:3" x14ac:dyDescent="0.25">
      <c r="B373" s="53" t="s">
        <v>1265</v>
      </c>
      <c r="C373" t="s">
        <v>1209</v>
      </c>
    </row>
    <row r="374" spans="2:3" x14ac:dyDescent="0.25">
      <c r="B374" s="54" t="s">
        <v>1266</v>
      </c>
      <c r="C374" t="s">
        <v>1209</v>
      </c>
    </row>
    <row r="375" spans="2:3" x14ac:dyDescent="0.25">
      <c r="B375" s="53" t="s">
        <v>712</v>
      </c>
      <c r="C375" t="s">
        <v>1209</v>
      </c>
    </row>
    <row r="376" spans="2:3" x14ac:dyDescent="0.25">
      <c r="B376" s="54" t="s">
        <v>1164</v>
      </c>
      <c r="C376" t="s">
        <v>1209</v>
      </c>
    </row>
    <row r="377" spans="2:3" x14ac:dyDescent="0.25">
      <c r="B377" s="53" t="s">
        <v>718</v>
      </c>
      <c r="C377" t="s">
        <v>1209</v>
      </c>
    </row>
    <row r="378" spans="2:3" x14ac:dyDescent="0.25">
      <c r="B378" s="55" t="s">
        <v>1267</v>
      </c>
      <c r="C378" t="s">
        <v>1209</v>
      </c>
    </row>
    <row r="379" spans="2:3" x14ac:dyDescent="0.25">
      <c r="B379" s="53" t="s">
        <v>1268</v>
      </c>
      <c r="C379" t="s">
        <v>1209</v>
      </c>
    </row>
    <row r="380" spans="2:3" x14ac:dyDescent="0.25">
      <c r="B380" s="54" t="s">
        <v>1269</v>
      </c>
      <c r="C380" t="s">
        <v>1209</v>
      </c>
    </row>
    <row r="381" spans="2:3" x14ac:dyDescent="0.25">
      <c r="B381" s="53" t="s">
        <v>1270</v>
      </c>
      <c r="C381" t="s">
        <v>1209</v>
      </c>
    </row>
    <row r="382" spans="2:3" x14ac:dyDescent="0.25">
      <c r="B382" s="54" t="s">
        <v>1105</v>
      </c>
      <c r="C382" t="s">
        <v>1209</v>
      </c>
    </row>
    <row r="383" spans="2:3" x14ac:dyDescent="0.25">
      <c r="B383" s="53" t="s">
        <v>1271</v>
      </c>
      <c r="C383" t="s">
        <v>1209</v>
      </c>
    </row>
    <row r="384" spans="2:3" x14ac:dyDescent="0.25">
      <c r="B384" s="54" t="s">
        <v>1272</v>
      </c>
      <c r="C384" t="s">
        <v>1209</v>
      </c>
    </row>
    <row r="385" spans="2:3" x14ac:dyDescent="0.25">
      <c r="B385" s="53" t="s">
        <v>1273</v>
      </c>
      <c r="C385" t="s">
        <v>1209</v>
      </c>
    </row>
    <row r="386" spans="2:3" x14ac:dyDescent="0.25">
      <c r="B386" s="54" t="s">
        <v>724</v>
      </c>
      <c r="C386" t="s">
        <v>1209</v>
      </c>
    </row>
    <row r="387" spans="2:3" x14ac:dyDescent="0.25">
      <c r="B387" s="53" t="s">
        <v>1165</v>
      </c>
      <c r="C387" t="s">
        <v>1209</v>
      </c>
    </row>
    <row r="388" spans="2:3" x14ac:dyDescent="0.25">
      <c r="B388" s="54" t="s">
        <v>1274</v>
      </c>
      <c r="C388" t="s">
        <v>1209</v>
      </c>
    </row>
    <row r="389" spans="2:3" x14ac:dyDescent="0.25">
      <c r="B389" s="53" t="s">
        <v>115</v>
      </c>
      <c r="C389" t="s">
        <v>1209</v>
      </c>
    </row>
    <row r="390" spans="2:3" x14ac:dyDescent="0.25">
      <c r="B390" s="54" t="s">
        <v>736</v>
      </c>
      <c r="C390" t="s">
        <v>1209</v>
      </c>
    </row>
    <row r="391" spans="2:3" x14ac:dyDescent="0.25">
      <c r="B391" s="53" t="s">
        <v>741</v>
      </c>
      <c r="C391" t="s">
        <v>1209</v>
      </c>
    </row>
    <row r="392" spans="2:3" x14ac:dyDescent="0.25">
      <c r="B392" s="54" t="s">
        <v>1166</v>
      </c>
      <c r="C392" t="s">
        <v>1209</v>
      </c>
    </row>
    <row r="393" spans="2:3" x14ac:dyDescent="0.25">
      <c r="B393" s="53" t="s">
        <v>746</v>
      </c>
      <c r="C393" t="s">
        <v>1209</v>
      </c>
    </row>
    <row r="394" spans="2:3" x14ac:dyDescent="0.25">
      <c r="B394" s="54" t="s">
        <v>1167</v>
      </c>
      <c r="C394" t="s">
        <v>1209</v>
      </c>
    </row>
    <row r="395" spans="2:3" x14ac:dyDescent="0.25">
      <c r="B395" s="57" t="s">
        <v>1275</v>
      </c>
      <c r="C395" t="s">
        <v>1209</v>
      </c>
    </row>
    <row r="396" spans="2:3" x14ac:dyDescent="0.25">
      <c r="B396" s="54" t="s">
        <v>1168</v>
      </c>
      <c r="C396" t="s">
        <v>1209</v>
      </c>
    </row>
    <row r="397" spans="2:3" x14ac:dyDescent="0.25">
      <c r="B397" s="53" t="s">
        <v>1276</v>
      </c>
      <c r="C397" t="s">
        <v>1209</v>
      </c>
    </row>
    <row r="398" spans="2:3" x14ac:dyDescent="0.25">
      <c r="B398" s="54" t="s">
        <v>1170</v>
      </c>
      <c r="C398" t="s">
        <v>1209</v>
      </c>
    </row>
    <row r="399" spans="2:3" x14ac:dyDescent="0.25">
      <c r="B399" s="53" t="s">
        <v>752</v>
      </c>
      <c r="C399" t="s">
        <v>1209</v>
      </c>
    </row>
    <row r="400" spans="2:3" x14ac:dyDescent="0.25">
      <c r="B400" s="54" t="s">
        <v>755</v>
      </c>
      <c r="C400" t="s">
        <v>1209</v>
      </c>
    </row>
    <row r="401" spans="2:3" x14ac:dyDescent="0.25">
      <c r="B401" s="53" t="s">
        <v>761</v>
      </c>
      <c r="C401" t="s">
        <v>1209</v>
      </c>
    </row>
    <row r="402" spans="2:3" x14ac:dyDescent="0.25">
      <c r="B402" s="54" t="s">
        <v>1277</v>
      </c>
      <c r="C402" t="s">
        <v>1209</v>
      </c>
    </row>
    <row r="403" spans="2:3" x14ac:dyDescent="0.25">
      <c r="B403" s="53" t="s">
        <v>766</v>
      </c>
      <c r="C403" t="s">
        <v>1209</v>
      </c>
    </row>
    <row r="404" spans="2:3" x14ac:dyDescent="0.25">
      <c r="B404" s="54" t="s">
        <v>1171</v>
      </c>
      <c r="C404" t="s">
        <v>1209</v>
      </c>
    </row>
    <row r="405" spans="2:3" x14ac:dyDescent="0.25">
      <c r="B405" s="53" t="s">
        <v>772</v>
      </c>
      <c r="C405" t="s">
        <v>1209</v>
      </c>
    </row>
    <row r="406" spans="2:3" x14ac:dyDescent="0.25">
      <c r="B406" s="54" t="s">
        <v>1278</v>
      </c>
      <c r="C406" t="s">
        <v>1209</v>
      </c>
    </row>
    <row r="407" spans="2:3" x14ac:dyDescent="0.25">
      <c r="B407" s="53" t="s">
        <v>788</v>
      </c>
      <c r="C407" t="s">
        <v>1209</v>
      </c>
    </row>
    <row r="408" spans="2:3" x14ac:dyDescent="0.25">
      <c r="B408" s="54" t="s">
        <v>794</v>
      </c>
      <c r="C408" t="s">
        <v>1209</v>
      </c>
    </row>
    <row r="409" spans="2:3" x14ac:dyDescent="0.25">
      <c r="B409" s="53" t="s">
        <v>1279</v>
      </c>
      <c r="C409" t="s">
        <v>1209</v>
      </c>
    </row>
    <row r="410" spans="2:3" x14ac:dyDescent="0.25">
      <c r="B410" s="54" t="s">
        <v>1173</v>
      </c>
      <c r="C410" t="s">
        <v>1209</v>
      </c>
    </row>
    <row r="411" spans="2:3" x14ac:dyDescent="0.25">
      <c r="B411" s="53" t="s">
        <v>1174</v>
      </c>
      <c r="C411" t="s">
        <v>1209</v>
      </c>
    </row>
    <row r="412" spans="2:3" x14ac:dyDescent="0.25">
      <c r="B412" s="54" t="s">
        <v>1197</v>
      </c>
      <c r="C412" t="s">
        <v>1209</v>
      </c>
    </row>
    <row r="413" spans="2:3" x14ac:dyDescent="0.25">
      <c r="B413" s="53" t="s">
        <v>803</v>
      </c>
      <c r="C413" t="s">
        <v>1209</v>
      </c>
    </row>
    <row r="414" spans="2:3" x14ac:dyDescent="0.25">
      <c r="B414" s="54" t="s">
        <v>808</v>
      </c>
      <c r="C414" t="s">
        <v>1209</v>
      </c>
    </row>
    <row r="415" spans="2:3" x14ac:dyDescent="0.25">
      <c r="B415" s="53" t="s">
        <v>813</v>
      </c>
      <c r="C415" t="s">
        <v>1209</v>
      </c>
    </row>
    <row r="416" spans="2:3" x14ac:dyDescent="0.25">
      <c r="B416" s="54" t="s">
        <v>819</v>
      </c>
      <c r="C416" t="s">
        <v>1209</v>
      </c>
    </row>
    <row r="417" spans="2:3" x14ac:dyDescent="0.25">
      <c r="B417" s="53" t="s">
        <v>825</v>
      </c>
      <c r="C417" t="s">
        <v>1209</v>
      </c>
    </row>
    <row r="418" spans="2:3" x14ac:dyDescent="0.25">
      <c r="B418" s="54" t="s">
        <v>828</v>
      </c>
      <c r="C418" t="s">
        <v>1209</v>
      </c>
    </row>
    <row r="419" spans="2:3" x14ac:dyDescent="0.25">
      <c r="B419" s="53" t="s">
        <v>1199</v>
      </c>
      <c r="C419" t="s">
        <v>1209</v>
      </c>
    </row>
    <row r="420" spans="2:3" x14ac:dyDescent="0.25">
      <c r="B420" s="55" t="s">
        <v>1280</v>
      </c>
      <c r="C420" t="s">
        <v>1209</v>
      </c>
    </row>
    <row r="421" spans="2:3" x14ac:dyDescent="0.25">
      <c r="B421" s="57" t="s">
        <v>1281</v>
      </c>
      <c r="C421" t="s">
        <v>1209</v>
      </c>
    </row>
    <row r="422" spans="2:3" x14ac:dyDescent="0.25">
      <c r="B422" s="54" t="s">
        <v>834</v>
      </c>
      <c r="C422" t="s">
        <v>1209</v>
      </c>
    </row>
    <row r="423" spans="2:3" x14ac:dyDescent="0.25">
      <c r="B423" s="53" t="s">
        <v>839</v>
      </c>
      <c r="C423" t="s">
        <v>1209</v>
      </c>
    </row>
    <row r="424" spans="2:3" x14ac:dyDescent="0.25">
      <c r="B424" s="54" t="s">
        <v>845</v>
      </c>
      <c r="C424" t="s">
        <v>1209</v>
      </c>
    </row>
    <row r="425" spans="2:3" x14ac:dyDescent="0.25">
      <c r="B425" s="53" t="s">
        <v>849</v>
      </c>
      <c r="C425" t="s">
        <v>1209</v>
      </c>
    </row>
    <row r="426" spans="2:3" x14ac:dyDescent="0.25">
      <c r="B426" s="54" t="s">
        <v>852</v>
      </c>
      <c r="C426" t="s">
        <v>1209</v>
      </c>
    </row>
    <row r="427" spans="2:3" x14ac:dyDescent="0.25">
      <c r="B427" s="53" t="s">
        <v>858</v>
      </c>
      <c r="C427" t="s">
        <v>1209</v>
      </c>
    </row>
    <row r="428" spans="2:3" x14ac:dyDescent="0.25">
      <c r="B428" s="54" t="s">
        <v>864</v>
      </c>
      <c r="C428" t="s">
        <v>1209</v>
      </c>
    </row>
    <row r="429" spans="2:3" x14ac:dyDescent="0.25">
      <c r="B429" s="53" t="s">
        <v>1200</v>
      </c>
      <c r="C429" t="s">
        <v>1209</v>
      </c>
    </row>
    <row r="430" spans="2:3" x14ac:dyDescent="0.25">
      <c r="B430" s="54" t="s">
        <v>1282</v>
      </c>
      <c r="C430" t="s">
        <v>1209</v>
      </c>
    </row>
    <row r="431" spans="2:3" x14ac:dyDescent="0.25">
      <c r="B431" s="53" t="s">
        <v>1283</v>
      </c>
      <c r="C431" t="s">
        <v>1209</v>
      </c>
    </row>
    <row r="432" spans="2:3" x14ac:dyDescent="0.25">
      <c r="B432" s="56" t="s">
        <v>1284</v>
      </c>
      <c r="C432" t="s">
        <v>1209</v>
      </c>
    </row>
    <row r="433" spans="2:3" x14ac:dyDescent="0.25">
      <c r="B433" s="53" t="s">
        <v>1285</v>
      </c>
      <c r="C433" t="s">
        <v>1209</v>
      </c>
    </row>
    <row r="434" spans="2:3" x14ac:dyDescent="0.25">
      <c r="B434" s="54" t="s">
        <v>1286</v>
      </c>
      <c r="C434" t="s">
        <v>1209</v>
      </c>
    </row>
    <row r="435" spans="2:3" x14ac:dyDescent="0.25">
      <c r="B435" s="53" t="s">
        <v>874</v>
      </c>
      <c r="C435" t="s">
        <v>1209</v>
      </c>
    </row>
    <row r="436" spans="2:3" x14ac:dyDescent="0.25">
      <c r="B436" s="54" t="s">
        <v>1201</v>
      </c>
      <c r="C436" t="s">
        <v>1209</v>
      </c>
    </row>
    <row r="437" spans="2:3" x14ac:dyDescent="0.25">
      <c r="B437" s="53" t="s">
        <v>878</v>
      </c>
      <c r="C437" t="s">
        <v>1209</v>
      </c>
    </row>
    <row r="438" spans="2:3" x14ac:dyDescent="0.25">
      <c r="B438" s="54" t="s">
        <v>1287</v>
      </c>
      <c r="C438" t="s">
        <v>1209</v>
      </c>
    </row>
    <row r="439" spans="2:3" x14ac:dyDescent="0.25">
      <c r="B439" s="53" t="s">
        <v>1288</v>
      </c>
      <c r="C439" t="s">
        <v>1209</v>
      </c>
    </row>
    <row r="440" spans="2:3" x14ac:dyDescent="0.25">
      <c r="B440" s="55" t="s">
        <v>1289</v>
      </c>
      <c r="C440" t="s">
        <v>1209</v>
      </c>
    </row>
    <row r="441" spans="2:3" x14ac:dyDescent="0.25">
      <c r="B441" s="53" t="s">
        <v>1290</v>
      </c>
      <c r="C441" t="s">
        <v>1209</v>
      </c>
    </row>
    <row r="442" spans="2:3" x14ac:dyDescent="0.25">
      <c r="B442" s="54" t="s">
        <v>1291</v>
      </c>
      <c r="C442" t="s">
        <v>1209</v>
      </c>
    </row>
    <row r="443" spans="2:3" x14ac:dyDescent="0.25">
      <c r="B443" s="53" t="s">
        <v>892</v>
      </c>
      <c r="C443" t="s">
        <v>1209</v>
      </c>
    </row>
    <row r="444" spans="2:3" x14ac:dyDescent="0.25">
      <c r="B444" s="54" t="s">
        <v>898</v>
      </c>
      <c r="C444" t="s">
        <v>1209</v>
      </c>
    </row>
    <row r="445" spans="2:3" x14ac:dyDescent="0.25">
      <c r="B445" s="53" t="s">
        <v>904</v>
      </c>
      <c r="C445" t="s">
        <v>1209</v>
      </c>
    </row>
    <row r="446" spans="2:3" x14ac:dyDescent="0.25">
      <c r="B446" s="32"/>
    </row>
  </sheetData>
  <autoFilter ref="B2:C446" xr:uid="{3538ED6B-8A23-4A55-B8EC-477709CAC923}">
    <sortState xmlns:xlrd2="http://schemas.microsoft.com/office/spreadsheetml/2017/richdata2" ref="B3:C446">
      <sortCondition descending="1" ref="C2:C446"/>
    </sortState>
  </autoFilter>
  <conditionalFormatting sqref="B1:B1048576">
    <cfRule type="duplicateValues" dxfId="2" priority="1"/>
  </conditionalFormatting>
  <conditionalFormatting sqref="B3:B282">
    <cfRule type="duplicateValues" dxfId="1" priority="3"/>
  </conditionalFormatting>
  <conditionalFormatting sqref="B284:B44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94F6DC270D50D647ADF8BA49971F57F9" ma:contentTypeVersion="57" ma:contentTypeDescription="" ma:contentTypeScope="" ma:versionID="b729cc3949de826cf1602dd459346c0e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61f51c15-2f4a-4f7e-bbfc-16453fe58831" xmlns:ns5="http://schemas.microsoft.com/sharepoint/v4" xmlns:ns6="d2b3d773-e148-49fa-bf9e-d57f8d39c24c" targetNamespace="http://schemas.microsoft.com/office/2006/metadata/properties" ma:root="true" ma:fieldsID="aaffd514abf701269ee9d2682395ebd9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61f51c15-2f4a-4f7e-bbfc-16453fe58831"/>
    <xsd:import namespace="http://schemas.microsoft.com/sharepoint/v4"/>
    <xsd:import namespace="d2b3d773-e148-49fa-bf9e-d57f8d39c24c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IconOverlay" minOccurs="0"/>
                <xsd:element ref="ns1:_vti_ItemDeclaredRecord" minOccurs="0"/>
                <xsd:element ref="ns1:_vti_ItemHoldRecordStatus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6:MediaServiceMetadata" minOccurs="0"/>
                <xsd:element ref="ns6:MediaServiceFastMetadata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MediaServiceDateTaken" minOccurs="0"/>
                <xsd:element ref="ns6:MediaLengthInSeconds" minOccurs="0"/>
                <xsd:element ref="ns6:lcf76f155ced4ddcb4097134ff3c332f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ServiceObjectDetectorVersions" minOccurs="0"/>
                <xsd:element ref="ns6:MediaServiceLocation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2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 ma:readOnly="fals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readOnly="false" ma:default="3;#Analysis,Planning ï¼† Monitoring-456C|5955b2fd-5d7f-4ec6-8d67-6bd2d19d2fcb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readOnly="fals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3a0da31b-43c2-475f-aadc-325386f57972}" ma:internalName="TaxCatchAllLabel" ma:readOnly="true" ma:showField="CatchAllDataLabel" ma:web="61f51c15-2f4a-4f7e-bbfc-16453fe588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3a0da31b-43c2-475f-aadc-325386f57972}" ma:internalName="TaxCatchAll" ma:showField="CatchAllData" ma:web="61f51c15-2f4a-4f7e-bbfc-16453fe588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readOnly="false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51c15-2f4a-4f7e-bbfc-16453fe58831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4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3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3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38" nillable="true" ma:displayName="Semaphore Status" ma:hidden="true" ma:internalName="SemaphoreItemMetadata">
      <xsd:simpleType>
        <xsd:restriction base="dms:Note"/>
      </xsd:simpleType>
    </xsd:element>
    <xsd:element name="SharedWithUsers" ma:index="4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3d773-e148-49fa-bf9e-d57f8d39c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4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4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_dlc_DocId xmlns="37893236-cb76-4d6f-8a18-4c624154e39c">RFF2MQFYXHK7-870072624-161392</_dlc_DocId>
    <_dlc_DocIdUrl xmlns="37893236-cb76-4d6f-8a18-4c624154e39c">
      <Url>https://unicef.sharepoint.com/teams/DAPM-ChildMortality/_layouts/15/DocIdRedir.aspx?ID=RFF2MQFYXHK7-870072624-161392</Url>
      <Description>RFF2MQFYXHK7-870072624-161392</Description>
    </_dlc_DocIdUrl>
    <lcf76f155ced4ddcb4097134ff3c332f xmlns="f8563a7a-d9fa-431f-b50c-34632ce7e22e">
      <Terms xmlns="http://schemas.microsoft.com/office/infopath/2007/PartnerControls"/>
    </lcf76f155ced4ddcb4097134ff3c332f>
    <SharedWithUsers xmlns="37893236-cb76-4d6f-8a18-4c624154e39c">
      <UserInfo>
        <DisplayName>Sandhya Devi Ravindran</DisplayName>
        <AccountId>11654</AccountId>
        <AccountType/>
      </UserInfo>
      <UserInfo>
        <DisplayName>Hailong David Zhang</DisplayName>
        <AccountId>1908</AccountId>
        <AccountType/>
      </UserInfo>
      <UserInfo>
        <DisplayName>Ashutosh Mani Dixit</DisplayName>
        <AccountId>8077</AccountId>
        <AccountType/>
      </UserInfo>
      <UserInfo>
        <DisplayName>Alfonso Vacaflores</DisplayName>
        <AccountId>4505</AccountId>
        <AccountType/>
      </UserInfo>
      <UserInfo>
        <DisplayName>Hanna Yatsiuk</DisplayName>
        <AccountId>446</AccountId>
        <AccountType/>
      </UserInfo>
      <UserInfo>
        <DisplayName>Walter Gomez</DisplayName>
        <AccountId>8024</AccountId>
        <AccountType/>
      </UserInfo>
      <UserInfo>
        <DisplayName>Nitesh Malviya</DisplayName>
        <AccountId>13704</AccountId>
        <AccountType/>
      </UserInfo>
    </SharedWithUsers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19" ma:contentTypeDescription="Create a new document." ma:contentTypeScope="" ma:versionID="f28e78ef6e4f0f2a2a2482d8db47776a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f3f994f0b4e3408e34fd8b168c2d4f01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935FD267-0C5B-42C6-A48E-92DEBFB5D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61f51c15-2f4a-4f7e-bbfc-16453fe58831"/>
    <ds:schemaRef ds:uri="http://schemas.microsoft.com/sharepoint/v4"/>
    <ds:schemaRef ds:uri="d2b3d773-e148-49fa-bf9e-d57f8d39c2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007235-3E04-4761-898D-261D1D6503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261900-2EE0-4469-B7FB-A259398880B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D796050-1B1E-4D4D-B4C8-E1C253CD90E6}">
  <ds:schemaRefs>
    <ds:schemaRef ds:uri="http://purl.org/dc/terms/"/>
    <ds:schemaRef ds:uri="ca283e0b-db31-4043-a2ef-b80661bf084a"/>
    <ds:schemaRef ds:uri="http://schemas.microsoft.com/sharepoint/v4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2b3d773-e148-49fa-bf9e-d57f8d39c24c"/>
    <ds:schemaRef ds:uri="61f51c15-2f4a-4f7e-bbfc-16453fe58831"/>
    <ds:schemaRef ds:uri="http://www.w3.org/XML/1998/namespace"/>
    <ds:schemaRef ds:uri="http://schemas.microsoft.com/sharepoint.v3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DAAB8565-6C5D-4852-AA1F-7FCDD02668C2}"/>
</file>

<file path=customXml/itemProps6.xml><?xml version="1.0" encoding="utf-8"?>
<ds:datastoreItem xmlns:ds="http://schemas.openxmlformats.org/officeDocument/2006/customXml" ds:itemID="{F89424EB-D6D1-4A13-BE1E-DD6C1538436F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Sources</vt:lpstr>
      <vt:lpstr>2025</vt:lpstr>
      <vt:lpstr>2024</vt:lpstr>
      <vt:lpstr>Pivot Tables</vt:lpstr>
      <vt:lpstr>2023</vt:lpstr>
      <vt:lpstr>2022</vt:lpstr>
      <vt:lpstr>2021</vt:lpstr>
      <vt:lpstr>List of economies</vt:lpstr>
      <vt:lpstr>Matching 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 Gomez Velarde</dc:creator>
  <cp:keywords/>
  <dc:description/>
  <cp:lastModifiedBy>Yang Liu</cp:lastModifiedBy>
  <cp:revision/>
  <dcterms:created xsi:type="dcterms:W3CDTF">2023-05-05T15:16:04Z</dcterms:created>
  <dcterms:modified xsi:type="dcterms:W3CDTF">2026-02-15T09:01:18Z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OfficeDivision">
    <vt:lpwstr/>
  </property>
  <property fmtid="{D5CDD505-2E9C-101B-9397-08002B2CF9AE}" pid="4" name="ContentTypeId">
    <vt:lpwstr>0x010100136DC1853B882B4A8BB14DB670B2A2D3</vt:lpwstr>
  </property>
  <property fmtid="{D5CDD505-2E9C-101B-9397-08002B2CF9AE}" pid="5" name="_dlc_DocIdItemGuid">
    <vt:lpwstr>930b93e7-88c8-4e95-be17-983dff07ec1f</vt:lpwstr>
  </property>
  <property fmtid="{D5CDD505-2E9C-101B-9397-08002B2CF9AE}" pid="6" name="SystemDTAC">
    <vt:lpwstr/>
  </property>
  <property fmtid="{D5CDD505-2E9C-101B-9397-08002B2CF9AE}" pid="7" name="Topic">
    <vt:lpwstr/>
  </property>
  <property fmtid="{D5CDD505-2E9C-101B-9397-08002B2CF9AE}" pid="8" name="MediaServiceImageTags">
    <vt:lpwstr/>
  </property>
  <property fmtid="{D5CDD505-2E9C-101B-9397-08002B2CF9AE}" pid="9" name="CriticalForLongTermRetention">
    <vt:lpwstr/>
  </property>
  <property fmtid="{D5CDD505-2E9C-101B-9397-08002B2CF9AE}" pid="10" name="DocumentType">
    <vt:lpwstr/>
  </property>
  <property fmtid="{D5CDD505-2E9C-101B-9397-08002B2CF9AE}" pid="11" name="GeographicScope">
    <vt:lpwstr/>
  </property>
</Properties>
</file>